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ude/Documents/konanut-sii/one-time-import/"/>
    </mc:Choice>
  </mc:AlternateContent>
  <xr:revisionPtr revIDLastSave="0" documentId="13_ncr:1_{E5F7E60B-4FE0-0540-84E7-376D77A97E6E}" xr6:coauthVersionLast="47" xr6:coauthVersionMax="47" xr10:uidLastSave="{00000000-0000-0000-0000-000000000000}"/>
  <bookViews>
    <workbookView xWindow="0" yWindow="600" windowWidth="68800" windowHeight="26460" tabRatio="538" xr2:uid="{00000000-000D-0000-FFFF-FFFF00000000}"/>
  </bookViews>
  <sheets>
    <sheet name="2026" sheetId="3" r:id="rId1"/>
  </sheets>
  <definedNames>
    <definedName name="_xlnm._FilterDatabase" localSheetId="0" hidden="1">'2026'!$B$3:$Y$158</definedName>
  </definedNames>
  <calcPr calcId="191029"/>
  <customWorkbookViews>
    <customWorkbookView name="מש&quot;ק אשכולי אבן שמואל - תצוגה אישית" guid="{EFFAFBD5-9663-4792-80B5-FF6068FB5F23}" mergeInterval="0" personalView="1" maximized="1" yWindow="-8" windowWidth="1936" windowHeight="1056" activeSheetId="1"/>
    <customWorkbookView name="רכז מתנדבים מג&quot;ב דרום לכיש - תצוגה אישית" guid="{1848F97C-9776-4BC4-9627-91C3B547C696}" mergeInterval="0" personalView="1" maximized="1" yWindow="-8" windowWidth="1936" windowHeight="1056" activeSheetId="1"/>
    <customWorkbookView name="מב&quot;ס מרחבים - תצוגה אישית" guid="{0AFF5A27-C1F8-4670-8BD0-9AF071413D8F}" mergeInterval="0" personalView="1" maximized="1" yWindow="-8" windowWidth="1936" windowHeight="1056" activeSheetId="1"/>
    <customWorkbookView name="מ' מש&quot;ק באר טוביה - תצוגה אישית" guid="{B1A24D7F-6E39-4FF8-9544-667043A06F1F}" mergeInterval="0" personalView="1" maximized="1" yWindow="-8" windowWidth="1936" windowHeight="1056" activeSheetId="1"/>
    <customWorkbookView name="מפק&quot;צ 30 זרוע דרום חטיבה לבט&quot;פ - תצוגה אישית" guid="{E2F48539-CABE-448A-BA86-187F5F74248B}" mergeInterval="0" personalView="1" maximized="1" yWindow="-8" windowWidth="1936" windowHeight="1056" activeSheetId="1"/>
    <customWorkbookView name="מש&quot;ק אשכולי ברכיה - תצוגה אישית" guid="{44A7B924-6D4F-421E-8D5C-A87624433906}" mergeInterval="0" personalView="1" maximized="1" yWindow="-8" windowWidth="1936" windowHeight="1056" activeSheetId="1"/>
    <customWorkbookView name="מש&quot;ק אשכולי ניר גלים - תצוגה אישית" guid="{A1DA26F4-0BF6-40E4-9CB8-928E193EFEC9}" mergeInterval="0" personalView="1" maximized="1" yWindow="-8" windowWidth="1552" windowHeight="840" activeSheetId="1"/>
    <customWorkbookView name="מ' מש&quot;ק רמת נגב - תצוגה אישית" guid="{36C40C0C-EA8A-41AC-B06D-50C48990EE24}" mergeInterval="0" personalView="1" xWindow="327" yWindow="281" windowWidth="1440" windowHeight="759" activeSheetId="1"/>
    <customWorkbookView name="רכז ישובים מג&quot;ב דרום - תצוגה אישית" guid="{BD650339-FBDA-4E94-B28B-B9E55E291F9D}" mergeInterval="0" personalView="1" maximized="1" yWindow="-8" windowWidth="1936" windowHeight="10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165" i="3"/>
  <c r="I165" i="3"/>
  <c r="H165" i="3"/>
  <c r="F157" i="3"/>
  <c r="E157" i="3"/>
  <c r="W156" i="3"/>
  <c r="U156" i="3"/>
  <c r="P156" i="3"/>
  <c r="N156" i="3"/>
  <c r="I156" i="3"/>
  <c r="H156" i="3"/>
  <c r="G156" i="3"/>
  <c r="O155" i="3"/>
  <c r="V155" i="3" s="1"/>
  <c r="O154" i="3"/>
  <c r="J154" i="3"/>
  <c r="O153" i="3"/>
  <c r="J153" i="3"/>
  <c r="O152" i="3"/>
  <c r="J152" i="3"/>
  <c r="O151" i="3"/>
  <c r="J151" i="3"/>
  <c r="O150" i="3"/>
  <c r="J150" i="3"/>
  <c r="O149" i="3"/>
  <c r="J149" i="3"/>
  <c r="O148" i="3"/>
  <c r="J148" i="3"/>
  <c r="O147" i="3"/>
  <c r="J147" i="3"/>
  <c r="O146" i="3"/>
  <c r="J146" i="3"/>
  <c r="O145" i="3"/>
  <c r="J145" i="3"/>
  <c r="O144" i="3"/>
  <c r="J144" i="3"/>
  <c r="O143" i="3"/>
  <c r="J143" i="3"/>
  <c r="O142" i="3"/>
  <c r="J142" i="3"/>
  <c r="O141" i="3"/>
  <c r="J141" i="3"/>
  <c r="O140" i="3"/>
  <c r="J140" i="3"/>
  <c r="O139" i="3"/>
  <c r="J139" i="3"/>
  <c r="O138" i="3"/>
  <c r="J138" i="3"/>
  <c r="O137" i="3"/>
  <c r="J137" i="3"/>
  <c r="O136" i="3"/>
  <c r="J136" i="3"/>
  <c r="O135" i="3"/>
  <c r="J135" i="3"/>
  <c r="O134" i="3"/>
  <c r="J134" i="3"/>
  <c r="O133" i="3"/>
  <c r="J133" i="3"/>
  <c r="W132" i="3"/>
  <c r="U132" i="3"/>
  <c r="P132" i="3"/>
  <c r="N132" i="3"/>
  <c r="I132" i="3"/>
  <c r="H132" i="3"/>
  <c r="G132" i="3"/>
  <c r="O131" i="3"/>
  <c r="J131" i="3"/>
  <c r="O130" i="3"/>
  <c r="J130" i="3"/>
  <c r="O129" i="3"/>
  <c r="J129" i="3"/>
  <c r="O128" i="3"/>
  <c r="J128" i="3"/>
  <c r="O127" i="3"/>
  <c r="J127" i="3"/>
  <c r="O126" i="3"/>
  <c r="J126" i="3"/>
  <c r="O125" i="3"/>
  <c r="J125" i="3"/>
  <c r="O124" i="3"/>
  <c r="Q124" i="3" s="1"/>
  <c r="J124" i="3"/>
  <c r="W123" i="3"/>
  <c r="U123" i="3"/>
  <c r="P123" i="3"/>
  <c r="N123" i="3"/>
  <c r="I123" i="3"/>
  <c r="H123" i="3"/>
  <c r="G123" i="3"/>
  <c r="O122" i="3"/>
  <c r="J122" i="3"/>
  <c r="O121" i="3"/>
  <c r="J121" i="3"/>
  <c r="O120" i="3"/>
  <c r="J120" i="3"/>
  <c r="O119" i="3"/>
  <c r="J119" i="3"/>
  <c r="O118" i="3"/>
  <c r="J118" i="3"/>
  <c r="O117" i="3"/>
  <c r="J117" i="3"/>
  <c r="O116" i="3"/>
  <c r="J116" i="3"/>
  <c r="O115" i="3"/>
  <c r="J115" i="3"/>
  <c r="O114" i="3"/>
  <c r="J114" i="3"/>
  <c r="O113" i="3"/>
  <c r="J113" i="3"/>
  <c r="O112" i="3"/>
  <c r="J112" i="3"/>
  <c r="O111" i="3"/>
  <c r="J111" i="3"/>
  <c r="O110" i="3"/>
  <c r="J110" i="3"/>
  <c r="O109" i="3"/>
  <c r="J109" i="3"/>
  <c r="O108" i="3"/>
  <c r="J108" i="3"/>
  <c r="W107" i="3"/>
  <c r="U107" i="3"/>
  <c r="P107" i="3"/>
  <c r="N107" i="3"/>
  <c r="I107" i="3"/>
  <c r="H107" i="3"/>
  <c r="G107" i="3"/>
  <c r="O106" i="3"/>
  <c r="J106" i="3"/>
  <c r="O105" i="3"/>
  <c r="J105" i="3"/>
  <c r="O104" i="3"/>
  <c r="J104" i="3"/>
  <c r="O103" i="3"/>
  <c r="J103" i="3"/>
  <c r="O102" i="3"/>
  <c r="J102" i="3"/>
  <c r="O101" i="3"/>
  <c r="J101" i="3"/>
  <c r="O100" i="3"/>
  <c r="J100" i="3"/>
  <c r="O99" i="3"/>
  <c r="J99" i="3"/>
  <c r="O98" i="3"/>
  <c r="J98" i="3"/>
  <c r="O97" i="3"/>
  <c r="J97" i="3"/>
  <c r="O96" i="3"/>
  <c r="J96" i="3"/>
  <c r="O95" i="3"/>
  <c r="J95" i="3"/>
  <c r="O94" i="3"/>
  <c r="J94" i="3"/>
  <c r="O93" i="3"/>
  <c r="J93" i="3"/>
  <c r="W92" i="3"/>
  <c r="U92" i="3"/>
  <c r="P92" i="3"/>
  <c r="N92" i="3"/>
  <c r="I92" i="3"/>
  <c r="H92" i="3"/>
  <c r="G92" i="3"/>
  <c r="O91" i="3"/>
  <c r="J91" i="3"/>
  <c r="O90" i="3"/>
  <c r="J90" i="3"/>
  <c r="O89" i="3"/>
  <c r="J89" i="3"/>
  <c r="O88" i="3"/>
  <c r="J88" i="3"/>
  <c r="O87" i="3"/>
  <c r="J87" i="3"/>
  <c r="O86" i="3"/>
  <c r="J86" i="3"/>
  <c r="O85" i="3"/>
  <c r="J85" i="3"/>
  <c r="O84" i="3"/>
  <c r="J84" i="3"/>
  <c r="O83" i="3"/>
  <c r="J83" i="3"/>
  <c r="O82" i="3"/>
  <c r="J82" i="3"/>
  <c r="O81" i="3"/>
  <c r="J81" i="3"/>
  <c r="O80" i="3"/>
  <c r="J80" i="3"/>
  <c r="O79" i="3"/>
  <c r="J79" i="3"/>
  <c r="O78" i="3"/>
  <c r="J78" i="3"/>
  <c r="O77" i="3"/>
  <c r="J77" i="3"/>
  <c r="O76" i="3"/>
  <c r="J76" i="3"/>
  <c r="W75" i="3"/>
  <c r="U75" i="3"/>
  <c r="P75" i="3"/>
  <c r="N75" i="3"/>
  <c r="I75" i="3"/>
  <c r="H75" i="3"/>
  <c r="G75" i="3"/>
  <c r="O74" i="3"/>
  <c r="J74" i="3"/>
  <c r="O73" i="3"/>
  <c r="J73" i="3"/>
  <c r="O72" i="3"/>
  <c r="J72" i="3"/>
  <c r="O71" i="3"/>
  <c r="J71" i="3"/>
  <c r="O70" i="3"/>
  <c r="J70" i="3"/>
  <c r="O69" i="3"/>
  <c r="J69" i="3"/>
  <c r="O68" i="3"/>
  <c r="J68" i="3"/>
  <c r="O67" i="3"/>
  <c r="J67" i="3"/>
  <c r="O66" i="3"/>
  <c r="J66" i="3"/>
  <c r="O65" i="3"/>
  <c r="J65" i="3"/>
  <c r="O64" i="3"/>
  <c r="J64" i="3"/>
  <c r="O63" i="3"/>
  <c r="J63" i="3"/>
  <c r="O62" i="3"/>
  <c r="J62" i="3"/>
  <c r="O61" i="3"/>
  <c r="J61" i="3"/>
  <c r="O60" i="3"/>
  <c r="J60" i="3"/>
  <c r="O59" i="3"/>
  <c r="J59" i="3"/>
  <c r="O58" i="3"/>
  <c r="J58" i="3"/>
  <c r="O57" i="3"/>
  <c r="J57" i="3"/>
  <c r="O56" i="3"/>
  <c r="J56" i="3"/>
  <c r="F55" i="3"/>
  <c r="E55" i="3"/>
  <c r="W54" i="3"/>
  <c r="U54" i="3"/>
  <c r="P54" i="3"/>
  <c r="N54" i="3"/>
  <c r="I54" i="3"/>
  <c r="H54" i="3"/>
  <c r="G54" i="3"/>
  <c r="O53" i="3"/>
  <c r="J53" i="3"/>
  <c r="W52" i="3"/>
  <c r="U52" i="3"/>
  <c r="P52" i="3"/>
  <c r="N52" i="3"/>
  <c r="I52" i="3"/>
  <c r="H52" i="3"/>
  <c r="G52" i="3"/>
  <c r="O51" i="3"/>
  <c r="O52" i="3" s="1"/>
  <c r="J51" i="3"/>
  <c r="W50" i="3"/>
  <c r="U50" i="3"/>
  <c r="P50" i="3"/>
  <c r="N50" i="3"/>
  <c r="I50" i="3"/>
  <c r="H50" i="3"/>
  <c r="G50" i="3"/>
  <c r="O49" i="3"/>
  <c r="J49" i="3"/>
  <c r="O48" i="3"/>
  <c r="J48" i="3"/>
  <c r="H48" i="3"/>
  <c r="O47" i="3"/>
  <c r="J47" i="3"/>
  <c r="O46" i="3"/>
  <c r="J46" i="3"/>
  <c r="O45" i="3"/>
  <c r="J45" i="3"/>
  <c r="O44" i="3"/>
  <c r="J44" i="3"/>
  <c r="O43" i="3"/>
  <c r="J43" i="3"/>
  <c r="O42" i="3"/>
  <c r="J42" i="3"/>
  <c r="O41" i="3"/>
  <c r="J41" i="3"/>
  <c r="O40" i="3"/>
  <c r="J40" i="3"/>
  <c r="O39" i="3"/>
  <c r="J39" i="3"/>
  <c r="O38" i="3"/>
  <c r="J38" i="3"/>
  <c r="O37" i="3"/>
  <c r="J37" i="3"/>
  <c r="O36" i="3"/>
  <c r="J36" i="3"/>
  <c r="O35" i="3"/>
  <c r="J35" i="3"/>
  <c r="O34" i="3"/>
  <c r="J34" i="3"/>
  <c r="O33" i="3"/>
  <c r="J33" i="3"/>
  <c r="O32" i="3"/>
  <c r="J32" i="3"/>
  <c r="O31" i="3"/>
  <c r="J31" i="3"/>
  <c r="W30" i="3"/>
  <c r="U30" i="3"/>
  <c r="P30" i="3"/>
  <c r="N30" i="3"/>
  <c r="I30" i="3"/>
  <c r="H30" i="3"/>
  <c r="G30" i="3"/>
  <c r="O29" i="3"/>
  <c r="J29" i="3"/>
  <c r="O28" i="3"/>
  <c r="J28" i="3"/>
  <c r="O27" i="3"/>
  <c r="J27" i="3"/>
  <c r="O26" i="3"/>
  <c r="J26" i="3"/>
  <c r="O25" i="3"/>
  <c r="J25" i="3"/>
  <c r="O24" i="3"/>
  <c r="J24" i="3"/>
  <c r="O23" i="3"/>
  <c r="J23" i="3"/>
  <c r="O22" i="3"/>
  <c r="J22" i="3"/>
  <c r="W21" i="3"/>
  <c r="U21" i="3"/>
  <c r="P21" i="3"/>
  <c r="N21" i="3"/>
  <c r="I21" i="3"/>
  <c r="H21" i="3"/>
  <c r="G21" i="3"/>
  <c r="O20" i="3"/>
  <c r="J20" i="3"/>
  <c r="O19" i="3"/>
  <c r="J19" i="3"/>
  <c r="O18" i="3"/>
  <c r="J18" i="3"/>
  <c r="O17" i="3"/>
  <c r="J17" i="3"/>
  <c r="O16" i="3"/>
  <c r="J16" i="3"/>
  <c r="O15" i="3"/>
  <c r="J15" i="3"/>
  <c r="O14" i="3"/>
  <c r="J14" i="3"/>
  <c r="O13" i="3"/>
  <c r="J13" i="3"/>
  <c r="O12" i="3"/>
  <c r="J12" i="3"/>
  <c r="O11" i="3"/>
  <c r="J11" i="3"/>
  <c r="O10" i="3"/>
  <c r="J10" i="3"/>
  <c r="O9" i="3"/>
  <c r="J9" i="3"/>
  <c r="O8" i="3"/>
  <c r="J8" i="3"/>
  <c r="O7" i="3"/>
  <c r="J7" i="3"/>
  <c r="O6" i="3"/>
  <c r="J6" i="3"/>
  <c r="O5" i="3"/>
  <c r="J5" i="3"/>
  <c r="O4" i="3"/>
  <c r="J107" i="3" l="1"/>
  <c r="J75" i="3"/>
  <c r="J52" i="3"/>
  <c r="J92" i="3"/>
  <c r="F158" i="3"/>
  <c r="E158" i="3"/>
  <c r="U157" i="3"/>
  <c r="P157" i="3"/>
  <c r="N157" i="3"/>
  <c r="H157" i="3"/>
  <c r="G157" i="3"/>
  <c r="U55" i="3"/>
  <c r="G55" i="3"/>
  <c r="Q52" i="3"/>
  <c r="J132" i="3"/>
  <c r="J50" i="3"/>
  <c r="J30" i="3"/>
  <c r="J123" i="3"/>
  <c r="N55" i="3"/>
  <c r="J21" i="3"/>
  <c r="H55" i="3"/>
  <c r="V122" i="3"/>
  <c r="X122" i="3" s="1"/>
  <c r="Q122" i="3"/>
  <c r="Q65" i="3"/>
  <c r="V65" i="3"/>
  <c r="X65" i="3" s="1"/>
  <c r="W157" i="3"/>
  <c r="I157" i="3"/>
  <c r="J156" i="3"/>
  <c r="Q154" i="3"/>
  <c r="V154" i="3"/>
  <c r="X154" i="3" s="1"/>
  <c r="V153" i="3"/>
  <c r="X153" i="3" s="1"/>
  <c r="Q153" i="3"/>
  <c r="V152" i="3"/>
  <c r="X152" i="3" s="1"/>
  <c r="Q152" i="3"/>
  <c r="V151" i="3"/>
  <c r="X151" i="3" s="1"/>
  <c r="Q151" i="3"/>
  <c r="V150" i="3"/>
  <c r="X150" i="3" s="1"/>
  <c r="Q150" i="3"/>
  <c r="V149" i="3"/>
  <c r="X149" i="3" s="1"/>
  <c r="Q149" i="3"/>
  <c r="Q148" i="3"/>
  <c r="V148" i="3"/>
  <c r="X148" i="3" s="1"/>
  <c r="Q147" i="3"/>
  <c r="V147" i="3"/>
  <c r="X147" i="3" s="1"/>
  <c r="Q146" i="3"/>
  <c r="V146" i="3"/>
  <c r="X146" i="3" s="1"/>
  <c r="V145" i="3"/>
  <c r="X145" i="3" s="1"/>
  <c r="Q145" i="3"/>
  <c r="V144" i="3"/>
  <c r="X144" i="3" s="1"/>
  <c r="Q144" i="3"/>
  <c r="V143" i="3"/>
  <c r="X143" i="3" s="1"/>
  <c r="Q143" i="3"/>
  <c r="V142" i="3"/>
  <c r="X142" i="3" s="1"/>
  <c r="Q142" i="3"/>
  <c r="V141" i="3"/>
  <c r="X141" i="3" s="1"/>
  <c r="Q141" i="3"/>
  <c r="Q140" i="3"/>
  <c r="V140" i="3"/>
  <c r="X140" i="3" s="1"/>
  <c r="Q139" i="3"/>
  <c r="V139" i="3"/>
  <c r="X139" i="3" s="1"/>
  <c r="V138" i="3"/>
  <c r="X138" i="3" s="1"/>
  <c r="Q138" i="3"/>
  <c r="V137" i="3"/>
  <c r="X137" i="3" s="1"/>
  <c r="Q137" i="3"/>
  <c r="V136" i="3"/>
  <c r="X136" i="3" s="1"/>
  <c r="Q136" i="3"/>
  <c r="V135" i="3"/>
  <c r="X135" i="3" s="1"/>
  <c r="Q135" i="3"/>
  <c r="V134" i="3"/>
  <c r="X134" i="3" s="1"/>
  <c r="Q134" i="3"/>
  <c r="O156" i="3"/>
  <c r="V133" i="3"/>
  <c r="Q133" i="3"/>
  <c r="Q131" i="3"/>
  <c r="V131" i="3"/>
  <c r="X131" i="3" s="1"/>
  <c r="V130" i="3"/>
  <c r="X130" i="3" s="1"/>
  <c r="Q130" i="3"/>
  <c r="V129" i="3"/>
  <c r="X129" i="3" s="1"/>
  <c r="Q129" i="3"/>
  <c r="Q128" i="3"/>
  <c r="V128" i="3"/>
  <c r="X128" i="3" s="1"/>
  <c r="Q127" i="3"/>
  <c r="V127" i="3"/>
  <c r="X127" i="3" s="1"/>
  <c r="Q126" i="3"/>
  <c r="V126" i="3"/>
  <c r="X126" i="3" s="1"/>
  <c r="V125" i="3"/>
  <c r="X125" i="3" s="1"/>
  <c r="Q125" i="3"/>
  <c r="V124" i="3"/>
  <c r="O132" i="3"/>
  <c r="Q132" i="3" s="1"/>
  <c r="Q121" i="3"/>
  <c r="V121" i="3"/>
  <c r="X121" i="3" s="1"/>
  <c r="Q120" i="3"/>
  <c r="V120" i="3"/>
  <c r="X120" i="3" s="1"/>
  <c r="Q119" i="3"/>
  <c r="V119" i="3"/>
  <c r="X119" i="3" s="1"/>
  <c r="Q118" i="3"/>
  <c r="V118" i="3"/>
  <c r="X118" i="3" s="1"/>
  <c r="Q117" i="3"/>
  <c r="V117" i="3"/>
  <c r="X117" i="3" s="1"/>
  <c r="V116" i="3"/>
  <c r="X116" i="3" s="1"/>
  <c r="Q116" i="3"/>
  <c r="V115" i="3"/>
  <c r="X115" i="3" s="1"/>
  <c r="Q115" i="3"/>
  <c r="O123" i="3"/>
  <c r="Q123" i="3" s="1"/>
  <c r="Q114" i="3"/>
  <c r="V114" i="3"/>
  <c r="X114" i="3" s="1"/>
  <c r="Q113" i="3"/>
  <c r="V113" i="3"/>
  <c r="X113" i="3" s="1"/>
  <c r="Q112" i="3"/>
  <c r="V112" i="3"/>
  <c r="X112" i="3" s="1"/>
  <c r="Q111" i="3"/>
  <c r="V111" i="3"/>
  <c r="X111" i="3" s="1"/>
  <c r="Q110" i="3"/>
  <c r="V110" i="3"/>
  <c r="X110" i="3" s="1"/>
  <c r="Q109" i="3"/>
  <c r="V109" i="3"/>
  <c r="X109" i="3" s="1"/>
  <c r="Q108" i="3"/>
  <c r="V108" i="3"/>
  <c r="V106" i="3"/>
  <c r="X106" i="3" s="1"/>
  <c r="Q106" i="3"/>
  <c r="Q105" i="3"/>
  <c r="V105" i="3"/>
  <c r="X105" i="3" s="1"/>
  <c r="Q104" i="3"/>
  <c r="V104" i="3"/>
  <c r="X104" i="3" s="1"/>
  <c r="Q103" i="3"/>
  <c r="V103" i="3"/>
  <c r="X103" i="3" s="1"/>
  <c r="V102" i="3"/>
  <c r="X102" i="3" s="1"/>
  <c r="Q102" i="3"/>
  <c r="Q101" i="3"/>
  <c r="V101" i="3"/>
  <c r="X101" i="3" s="1"/>
  <c r="Q100" i="3"/>
  <c r="V100" i="3"/>
  <c r="X100" i="3" s="1"/>
  <c r="Q99" i="3"/>
  <c r="V99" i="3"/>
  <c r="X99" i="3" s="1"/>
  <c r="Q98" i="3"/>
  <c r="O107" i="3"/>
  <c r="Q107" i="3" s="1"/>
  <c r="V98" i="3"/>
  <c r="X98" i="3" s="1"/>
  <c r="Q97" i="3"/>
  <c r="V97" i="3"/>
  <c r="X97" i="3" s="1"/>
  <c r="Q96" i="3"/>
  <c r="V96" i="3"/>
  <c r="X96" i="3" s="1"/>
  <c r="Q95" i="3"/>
  <c r="V95" i="3"/>
  <c r="X95" i="3" s="1"/>
  <c r="Q94" i="3"/>
  <c r="V94" i="3"/>
  <c r="X94" i="3" s="1"/>
  <c r="Q93" i="3"/>
  <c r="V93" i="3"/>
  <c r="V91" i="3"/>
  <c r="X91" i="3" s="1"/>
  <c r="Q91" i="3"/>
  <c r="V90" i="3"/>
  <c r="X90" i="3" s="1"/>
  <c r="Q90" i="3"/>
  <c r="Q89" i="3"/>
  <c r="V89" i="3"/>
  <c r="X89" i="3" s="1"/>
  <c r="V88" i="3"/>
  <c r="X88" i="3" s="1"/>
  <c r="Q88" i="3"/>
  <c r="Q87" i="3"/>
  <c r="V87" i="3"/>
  <c r="X87" i="3" s="1"/>
  <c r="Q86" i="3"/>
  <c r="V86" i="3"/>
  <c r="X86" i="3" s="1"/>
  <c r="Q85" i="3"/>
  <c r="V85" i="3"/>
  <c r="X85" i="3" s="1"/>
  <c r="Q84" i="3"/>
  <c r="V84" i="3"/>
  <c r="X84" i="3" s="1"/>
  <c r="Q83" i="3"/>
  <c r="V83" i="3"/>
  <c r="X83" i="3" s="1"/>
  <c r="Q82" i="3"/>
  <c r="V82" i="3"/>
  <c r="X82" i="3" s="1"/>
  <c r="O92" i="3"/>
  <c r="Q92" i="3" s="1"/>
  <c r="Q81" i="3"/>
  <c r="V81" i="3"/>
  <c r="X81" i="3" s="1"/>
  <c r="Q80" i="3"/>
  <c r="V80" i="3"/>
  <c r="X80" i="3" s="1"/>
  <c r="V79" i="3"/>
  <c r="X79" i="3" s="1"/>
  <c r="Q79" i="3"/>
  <c r="V78" i="3"/>
  <c r="X78" i="3" s="1"/>
  <c r="Q78" i="3"/>
  <c r="V77" i="3"/>
  <c r="X77" i="3" s="1"/>
  <c r="Q77" i="3"/>
  <c r="Q76" i="3"/>
  <c r="V76" i="3"/>
  <c r="V74" i="3"/>
  <c r="X74" i="3" s="1"/>
  <c r="Q74" i="3"/>
  <c r="V73" i="3"/>
  <c r="X73" i="3" s="1"/>
  <c r="Q73" i="3"/>
  <c r="Q72" i="3"/>
  <c r="V72" i="3"/>
  <c r="X72" i="3" s="1"/>
  <c r="Q71" i="3"/>
  <c r="V71" i="3"/>
  <c r="X71" i="3" s="1"/>
  <c r="V70" i="3"/>
  <c r="X70" i="3" s="1"/>
  <c r="Q70" i="3"/>
  <c r="V69" i="3"/>
  <c r="X69" i="3" s="1"/>
  <c r="Q69" i="3"/>
  <c r="V68" i="3"/>
  <c r="X68" i="3" s="1"/>
  <c r="Q68" i="3"/>
  <c r="V67" i="3"/>
  <c r="X67" i="3" s="1"/>
  <c r="Q67" i="3"/>
  <c r="Q66" i="3"/>
  <c r="O75" i="3"/>
  <c r="Q75" i="3" s="1"/>
  <c r="V66" i="3"/>
  <c r="X66" i="3" s="1"/>
  <c r="Q64" i="3"/>
  <c r="V64" i="3"/>
  <c r="X64" i="3" s="1"/>
  <c r="Q63" i="3"/>
  <c r="V63" i="3"/>
  <c r="X63" i="3" s="1"/>
  <c r="Q62" i="3"/>
  <c r="V62" i="3"/>
  <c r="X62" i="3" s="1"/>
  <c r="Q61" i="3"/>
  <c r="V61" i="3"/>
  <c r="X61" i="3" s="1"/>
  <c r="Q60" i="3"/>
  <c r="V60" i="3"/>
  <c r="X60" i="3" s="1"/>
  <c r="Q59" i="3"/>
  <c r="V59" i="3"/>
  <c r="X59" i="3" s="1"/>
  <c r="V58" i="3"/>
  <c r="X58" i="3" s="1"/>
  <c r="Q58" i="3"/>
  <c r="V57" i="3"/>
  <c r="X57" i="3" s="1"/>
  <c r="Q57" i="3"/>
  <c r="V56" i="3"/>
  <c r="Q56" i="3"/>
  <c r="W55" i="3"/>
  <c r="P55" i="3"/>
  <c r="I55" i="3"/>
  <c r="J54" i="3"/>
  <c r="O54" i="3"/>
  <c r="Q54" i="3" s="1"/>
  <c r="V53" i="3"/>
  <c r="Q53" i="3"/>
  <c r="Q51" i="3"/>
  <c r="V51" i="3"/>
  <c r="V49" i="3"/>
  <c r="X49" i="3" s="1"/>
  <c r="Q49" i="3"/>
  <c r="Q48" i="3"/>
  <c r="V48" i="3"/>
  <c r="X48" i="3" s="1"/>
  <c r="Q47" i="3"/>
  <c r="V47" i="3"/>
  <c r="X47" i="3" s="1"/>
  <c r="Q46" i="3"/>
  <c r="V46" i="3"/>
  <c r="X46" i="3" s="1"/>
  <c r="Q45" i="3"/>
  <c r="V45" i="3"/>
  <c r="X45" i="3" s="1"/>
  <c r="Q44" i="3"/>
  <c r="V44" i="3"/>
  <c r="X44" i="3" s="1"/>
  <c r="V43" i="3"/>
  <c r="X43" i="3" s="1"/>
  <c r="Q43" i="3"/>
  <c r="V42" i="3"/>
  <c r="X42" i="3" s="1"/>
  <c r="Q42" i="3"/>
  <c r="Q41" i="3"/>
  <c r="V41" i="3"/>
  <c r="X41" i="3" s="1"/>
  <c r="Q40" i="3"/>
  <c r="V40" i="3"/>
  <c r="X40" i="3" s="1"/>
  <c r="Q39" i="3"/>
  <c r="V39" i="3"/>
  <c r="X39" i="3" s="1"/>
  <c r="V38" i="3"/>
  <c r="X38" i="3" s="1"/>
  <c r="Q38" i="3"/>
  <c r="V37" i="3"/>
  <c r="X37" i="3" s="1"/>
  <c r="Q37" i="3"/>
  <c r="V36" i="3"/>
  <c r="X36" i="3" s="1"/>
  <c r="Q36" i="3"/>
  <c r="Q35" i="3"/>
  <c r="V35" i="3"/>
  <c r="X35" i="3" s="1"/>
  <c r="Q34" i="3"/>
  <c r="V34" i="3"/>
  <c r="X34" i="3" s="1"/>
  <c r="V33" i="3"/>
  <c r="X33" i="3" s="1"/>
  <c r="Q33" i="3"/>
  <c r="Q32" i="3"/>
  <c r="V32" i="3"/>
  <c r="X32" i="3" s="1"/>
  <c r="O50" i="3"/>
  <c r="Q50" i="3" s="1"/>
  <c r="V31" i="3"/>
  <c r="Q31" i="3"/>
  <c r="Q29" i="3"/>
  <c r="V29" i="3"/>
  <c r="X29" i="3" s="1"/>
  <c r="V28" i="3"/>
  <c r="X28" i="3" s="1"/>
  <c r="Q28" i="3"/>
  <c r="V27" i="3"/>
  <c r="X27" i="3" s="1"/>
  <c r="Q27" i="3"/>
  <c r="Q26" i="3"/>
  <c r="V26" i="3"/>
  <c r="X26" i="3" s="1"/>
  <c r="Q25" i="3"/>
  <c r="V25" i="3"/>
  <c r="X25" i="3" s="1"/>
  <c r="V24" i="3"/>
  <c r="X24" i="3" s="1"/>
  <c r="Q24" i="3"/>
  <c r="Q23" i="3"/>
  <c r="V23" i="3"/>
  <c r="X23" i="3" s="1"/>
  <c r="Q22" i="3"/>
  <c r="O30" i="3"/>
  <c r="Q30" i="3" s="1"/>
  <c r="V22" i="3"/>
  <c r="Q20" i="3"/>
  <c r="V20" i="3"/>
  <c r="X20" i="3" s="1"/>
  <c r="V19" i="3"/>
  <c r="X19" i="3" s="1"/>
  <c r="Q19" i="3"/>
  <c r="Q18" i="3"/>
  <c r="V18" i="3"/>
  <c r="X18" i="3" s="1"/>
  <c r="Q17" i="3"/>
  <c r="V17" i="3"/>
  <c r="X17" i="3" s="1"/>
  <c r="V16" i="3"/>
  <c r="X16" i="3" s="1"/>
  <c r="Q16" i="3"/>
  <c r="Q15" i="3"/>
  <c r="V15" i="3"/>
  <c r="X15" i="3" s="1"/>
  <c r="V14" i="3"/>
  <c r="X14" i="3" s="1"/>
  <c r="Q14" i="3"/>
  <c r="Q13" i="3"/>
  <c r="V13" i="3"/>
  <c r="X13" i="3" s="1"/>
  <c r="Q12" i="3"/>
  <c r="V12" i="3"/>
  <c r="X12" i="3" s="1"/>
  <c r="V11" i="3"/>
  <c r="X11" i="3" s="1"/>
  <c r="Q11" i="3"/>
  <c r="V10" i="3"/>
  <c r="X10" i="3" s="1"/>
  <c r="Q10" i="3"/>
  <c r="V9" i="3"/>
  <c r="X9" i="3" s="1"/>
  <c r="Q9" i="3"/>
  <c r="Q8" i="3"/>
  <c r="V8" i="3"/>
  <c r="X8" i="3" s="1"/>
  <c r="Q7" i="3"/>
  <c r="V7" i="3"/>
  <c r="X7" i="3" s="1"/>
  <c r="Q6" i="3"/>
  <c r="V6" i="3"/>
  <c r="X6" i="3" s="1"/>
  <c r="V5" i="3"/>
  <c r="X5" i="3" s="1"/>
  <c r="Q5" i="3"/>
  <c r="Q4" i="3"/>
  <c r="O21" i="3"/>
  <c r="Q21" i="3" s="1"/>
  <c r="V4" i="3"/>
  <c r="P158" i="3" l="1"/>
  <c r="J55" i="3"/>
  <c r="U158" i="3"/>
  <c r="N158" i="3"/>
  <c r="H158" i="3"/>
  <c r="G158" i="3"/>
  <c r="W158" i="3"/>
  <c r="J157" i="3"/>
  <c r="I158" i="3"/>
  <c r="X133" i="3"/>
  <c r="V156" i="3"/>
  <c r="X124" i="3"/>
  <c r="X132" i="3" s="1"/>
  <c r="V132" i="3"/>
  <c r="X108" i="3"/>
  <c r="V123" i="3"/>
  <c r="X123" i="3" s="1"/>
  <c r="X93" i="3"/>
  <c r="V107" i="3"/>
  <c r="X107" i="3" s="1"/>
  <c r="X76" i="3"/>
  <c r="V92" i="3"/>
  <c r="X92" i="3" s="1"/>
  <c r="X56" i="3"/>
  <c r="V75" i="3"/>
  <c r="X75" i="3" s="1"/>
  <c r="X53" i="3"/>
  <c r="V54" i="3"/>
  <c r="X51" i="3"/>
  <c r="V52" i="3"/>
  <c r="X52" i="3" s="1"/>
  <c r="X31" i="3"/>
  <c r="V50" i="3"/>
  <c r="X50" i="3" s="1"/>
  <c r="X22" i="3"/>
  <c r="V30" i="3"/>
  <c r="X30" i="3" s="1"/>
  <c r="X4" i="3"/>
  <c r="V21" i="3"/>
  <c r="X21" i="3" s="1"/>
  <c r="O157" i="3"/>
  <c r="Q156" i="3"/>
  <c r="O55" i="3"/>
  <c r="Q55" i="3" s="1"/>
  <c r="J158" i="3" l="1"/>
  <c r="X156" i="3"/>
  <c r="V157" i="3"/>
  <c r="X54" i="3"/>
  <c r="X55" i="3" s="1"/>
  <c r="V55" i="3"/>
  <c r="Q157" i="3"/>
  <c r="O158" i="3"/>
  <c r="Q158" i="3" s="1"/>
  <c r="X157" i="3" l="1"/>
  <c r="V158" i="3"/>
  <c r="X15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רכז ישובים מג"ב דרום</author>
    <author>מש"ק הדרכה זרוע ישובים דרום</author>
  </authors>
  <commentList>
    <comment ref="F67" authorId="0" shapeId="0" xr:uid="{00000000-0006-0000-0000-000001000000}">
      <text>
        <r>
          <rPr>
            <b/>
            <sz val="9"/>
            <rFont val="Tahoma"/>
            <family val="2"/>
          </rPr>
          <t>אחרון ביצע 22.3.26</t>
        </r>
      </text>
    </comment>
    <comment ref="L73" authorId="1" shapeId="0" xr:uid="{00000000-0006-0000-0000-000002000000}">
      <text>
        <r>
          <rPr>
            <b/>
            <sz val="9"/>
            <rFont val="Tahoma"/>
            <family val="2"/>
          </rPr>
          <t>בוטל- מדריך הוקפץ למילואים</t>
        </r>
        <r>
          <rPr>
            <sz val="9"/>
            <rFont val="Tahoma"/>
            <family val="2"/>
          </rPr>
          <t xml:space="preserve">
</t>
        </r>
      </text>
    </comment>
    <comment ref="E77" authorId="1" shapeId="0" xr:uid="{2183EA7B-DF37-4B69-A9CD-F0AB5972AB20}">
      <text>
        <r>
          <rPr>
            <b/>
            <sz val="9"/>
            <rFont val="Tahoma"/>
            <family val="2"/>
            <charset val="177"/>
          </rPr>
          <t>בוטל- היענות נמוכה (אירוע של אחד מחברי הכיתה)</t>
        </r>
      </text>
    </comment>
    <comment ref="F89" authorId="0" shapeId="0" xr:uid="{00000000-0006-0000-0000-000003000000}">
      <text>
        <r>
          <rPr>
            <b/>
            <sz val="9"/>
            <rFont val="Tahoma"/>
            <family val="2"/>
          </rPr>
          <t>אחרון 26.1.26</t>
        </r>
      </text>
    </comment>
    <comment ref="E90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בוטל</t>
        </r>
        <r>
          <rPr>
            <b/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Tahoma"/>
            <family val="2"/>
          </rPr>
          <t>מלחמה</t>
        </r>
        <r>
          <rPr>
            <b/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Tahoma"/>
            <family val="2"/>
          </rPr>
          <t>הקפצת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חברי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כיתה</t>
        </r>
      </text>
    </comment>
    <comment ref="E97" authorId="0" shapeId="0" xr:uid="{00000000-0006-0000-0000-000005000000}">
      <text>
        <r>
          <rPr>
            <b/>
            <sz val="9"/>
            <rFont val="Tahoma"/>
            <family val="2"/>
          </rPr>
          <t>בוטל- היענות נמוכה מלחמה</t>
        </r>
        <r>
          <rPr>
            <sz val="9"/>
            <rFont val="Tahoma"/>
            <family val="2"/>
          </rPr>
          <t xml:space="preserve">
</t>
        </r>
      </text>
    </comment>
    <comment ref="E98" authorId="0" shapeId="0" xr:uid="{00000000-0006-0000-0000-000006000000}">
      <text>
        <r>
          <rPr>
            <b/>
            <sz val="9"/>
            <rFont val="Tahoma"/>
            <family val="2"/>
          </rPr>
          <t>בוטל- היענות נמוכה- מלחמה</t>
        </r>
      </text>
    </comment>
    <comment ref="E99" authorId="0" shapeId="0" xr:uid="{00000000-0006-0000-0000-000007000000}">
      <text>
        <r>
          <rPr>
            <b/>
            <sz val="9"/>
            <rFont val="Tahoma"/>
            <family val="2"/>
          </rPr>
          <t>בוטל- היענות נמוכה- מלחמה</t>
        </r>
      </text>
    </comment>
    <comment ref="L102" authorId="0" shapeId="0" xr:uid="{00000000-0006-0000-0000-000008000000}">
      <text>
        <r>
          <rPr>
            <b/>
            <sz val="9"/>
            <rFont val="Tahoma"/>
            <family val="2"/>
          </rPr>
          <t>בוטל- היענות נמוכה</t>
        </r>
        <r>
          <rPr>
            <sz val="9"/>
            <rFont val="Tahoma"/>
            <family val="2"/>
          </rPr>
          <t xml:space="preserve">
</t>
        </r>
      </text>
    </comment>
    <comment ref="E103" authorId="1" shapeId="0" xr:uid="{00000000-0006-0000-0000-000009000000}">
      <text>
        <r>
          <rPr>
            <b/>
            <sz val="9"/>
            <rFont val="Tahoma"/>
            <family val="2"/>
          </rPr>
          <t>בוטל- מז"א</t>
        </r>
        <r>
          <rPr>
            <sz val="9"/>
            <rFont val="Tahoma"/>
            <family val="2"/>
          </rPr>
          <t xml:space="preserve">
</t>
        </r>
      </text>
    </comment>
    <comment ref="E104" authorId="1" shapeId="0" xr:uid="{00000000-0006-0000-0000-00000A000000}">
      <text>
        <r>
          <rPr>
            <sz val="9"/>
            <rFont val="Tahoma"/>
            <family val="2"/>
          </rPr>
          <t xml:space="preserve">בוטל- היענות נמוכה- מלחמה
</t>
        </r>
      </text>
    </comment>
  </commentList>
</comments>
</file>

<file path=xl/sharedStrings.xml><?xml version="1.0" encoding="utf-8"?>
<sst xmlns="http://schemas.openxmlformats.org/spreadsheetml/2006/main" count="212" uniqueCount="186">
  <si>
    <t>מבקיעים</t>
  </si>
  <si>
    <t>שדה דוד</t>
  </si>
  <si>
    <t>חצרים</t>
  </si>
  <si>
    <t>פעמי תש"ז</t>
  </si>
  <si>
    <t>שיזף</t>
  </si>
  <si>
    <t>מדרשת בן גוריון</t>
  </si>
  <si>
    <t>רביבים</t>
  </si>
  <si>
    <t>שדה בוקר</t>
  </si>
  <si>
    <t>משאבי שדה</t>
  </si>
  <si>
    <t>בית גמליאל</t>
  </si>
  <si>
    <t>תלמים</t>
  </si>
  <si>
    <t>לכיש</t>
  </si>
  <si>
    <t>ניר חן</t>
  </si>
  <si>
    <t>מרכז שפירא</t>
  </si>
  <si>
    <t>שפיר</t>
  </si>
  <si>
    <t>זרחיה</t>
  </si>
  <si>
    <t>איתן</t>
  </si>
  <si>
    <t>בית ניר</t>
  </si>
  <si>
    <t>כפר ורבורג</t>
  </si>
  <si>
    <t>אורות</t>
  </si>
  <si>
    <t>ניר בנים</t>
  </si>
  <si>
    <t>תימורים</t>
  </si>
  <si>
    <t>שחר</t>
  </si>
  <si>
    <t>אביגדור</t>
  </si>
  <si>
    <t>באר טוביה</t>
  </si>
  <si>
    <t>דביר</t>
  </si>
  <si>
    <t>עין צורים</t>
  </si>
  <si>
    <t>פלגה</t>
  </si>
  <si>
    <t>חבל</t>
  </si>
  <si>
    <t>ישוב</t>
  </si>
  <si>
    <t>נבטים</t>
  </si>
  <si>
    <t>גבעות בר</t>
  </si>
  <si>
    <t>שובל</t>
  </si>
  <si>
    <t>בית קמה</t>
  </si>
  <si>
    <t>משמר הנגב</t>
  </si>
  <si>
    <t>תאשור</t>
  </si>
  <si>
    <t>ברוש</t>
  </si>
  <si>
    <t>תדהר</t>
  </si>
  <si>
    <t>כרמית</t>
  </si>
  <si>
    <t>שומריה</t>
  </si>
  <si>
    <t>יתיר</t>
  </si>
  <si>
    <t>להב</t>
  </si>
  <si>
    <t>הר עמשא</t>
  </si>
  <si>
    <t>כרמים</t>
  </si>
  <si>
    <t>טללים</t>
  </si>
  <si>
    <t>מרחב עם</t>
  </si>
  <si>
    <t>קלחים</t>
  </si>
  <si>
    <t>תלמי בילו</t>
  </si>
  <si>
    <t>שדה צבי</t>
  </si>
  <si>
    <t>רנן</t>
  </si>
  <si>
    <t>אשבול</t>
  </si>
  <si>
    <t>גילת</t>
  </si>
  <si>
    <t>מבועים</t>
  </si>
  <si>
    <t>תפרח</t>
  </si>
  <si>
    <t>פדויים</t>
  </si>
  <si>
    <t>ניר משה</t>
  </si>
  <si>
    <t>אשל הנשיא</t>
  </si>
  <si>
    <t>פטיש</t>
  </si>
  <si>
    <t>ניר עקיבא</t>
  </si>
  <si>
    <t>שבי דרום</t>
  </si>
  <si>
    <t>בטחה</t>
  </si>
  <si>
    <t>עלה נגב</t>
  </si>
  <si>
    <t>נהורה</t>
  </si>
  <si>
    <t>שדה משה</t>
  </si>
  <si>
    <t>אחוזם</t>
  </si>
  <si>
    <t>עוצם</t>
  </si>
  <si>
    <t>נגה</t>
  </si>
  <si>
    <t>זוהר</t>
  </si>
  <si>
    <t>יד נתן</t>
  </si>
  <si>
    <t>מנוחה</t>
  </si>
  <si>
    <t>נגב</t>
  </si>
  <si>
    <t>תלמי יפה</t>
  </si>
  <si>
    <t>באר גנים</t>
  </si>
  <si>
    <t>בת הדר</t>
  </si>
  <si>
    <t>ברכיה</t>
  </si>
  <si>
    <t>חלץ</t>
  </si>
  <si>
    <t>בית שקמה</t>
  </si>
  <si>
    <t>משען</t>
  </si>
  <si>
    <t>גיאה</t>
  </si>
  <si>
    <t>הודיה</t>
  </si>
  <si>
    <t>כוכב מיכאל</t>
  </si>
  <si>
    <t>כפר סילבר</t>
  </si>
  <si>
    <t>ניצן</t>
  </si>
  <si>
    <t>ניר ישראל</t>
  </si>
  <si>
    <t>ניצנים</t>
  </si>
  <si>
    <t>כפר הריף</t>
  </si>
  <si>
    <t>רבדים</t>
  </si>
  <si>
    <t>כפר מנחם</t>
  </si>
  <si>
    <t>קדמה</t>
  </si>
  <si>
    <t>סגולה</t>
  </si>
  <si>
    <t>גלאון</t>
  </si>
  <si>
    <t>גת</t>
  </si>
  <si>
    <t>ורדון</t>
  </si>
  <si>
    <t>שדה יואב</t>
  </si>
  <si>
    <t>נגבה</t>
  </si>
  <si>
    <t>נחלה</t>
  </si>
  <si>
    <t xml:space="preserve"> רווחה </t>
  </si>
  <si>
    <t>אבן שמואל</t>
  </si>
  <si>
    <t>אלומה</t>
  </si>
  <si>
    <t>זבדיאל</t>
  </si>
  <si>
    <t xml:space="preserve">משואות </t>
  </si>
  <si>
    <t>נועם</t>
  </si>
  <si>
    <t>עוזה</t>
  </si>
  <si>
    <t>קוממיות</t>
  </si>
  <si>
    <t>שלווה</t>
  </si>
  <si>
    <t xml:space="preserve">קבוצת יבנה </t>
  </si>
  <si>
    <t>ניר גלים</t>
  </si>
  <si>
    <t xml:space="preserve">בני דרום </t>
  </si>
  <si>
    <t>בית רבן</t>
  </si>
  <si>
    <t>כרם יבנה</t>
  </si>
  <si>
    <t>בן זכאי</t>
  </si>
  <si>
    <t>אמונים</t>
  </si>
  <si>
    <t>ביצרון</t>
  </si>
  <si>
    <t>בית עזרא</t>
  </si>
  <si>
    <t>גבעתי</t>
  </si>
  <si>
    <t>חצב</t>
  </si>
  <si>
    <t>חצור</t>
  </si>
  <si>
    <t>ינון</t>
  </si>
  <si>
    <t>כנות</t>
  </si>
  <si>
    <t>כפר אחים</t>
  </si>
  <si>
    <t>נווה מבטח</t>
  </si>
  <si>
    <t>עזר</t>
  </si>
  <si>
    <t>עזריקם</t>
  </si>
  <si>
    <t>שדה עוזיהו</t>
  </si>
  <si>
    <t>שתולים</t>
  </si>
  <si>
    <t>תלמי יחיאל</t>
  </si>
  <si>
    <t>נטע</t>
  </si>
  <si>
    <t>אליאב</t>
  </si>
  <si>
    <t>כרמי קטיף</t>
  </si>
  <si>
    <t>אמציה</t>
  </si>
  <si>
    <t>בית גוברין</t>
  </si>
  <si>
    <t>בני דקלים</t>
  </si>
  <si>
    <t>מועצתית</t>
  </si>
  <si>
    <t>ערוגות /אחוה</t>
  </si>
  <si>
    <t>אימון הגנ"ש</t>
  </si>
  <si>
    <t>בני שמעון
17</t>
  </si>
  <si>
    <t>שדות נגב
1</t>
  </si>
  <si>
    <t>לכיש
19</t>
  </si>
  <si>
    <t>חוף אשקלון
16</t>
  </si>
  <si>
    <t>יואב
14</t>
  </si>
  <si>
    <t>שפיר
15</t>
  </si>
  <si>
    <t>סה"כ נגב- 44</t>
  </si>
  <si>
    <t>סה"כ לכיש- 93</t>
  </si>
  <si>
    <t>סה"כ זרועי- 137</t>
  </si>
  <si>
    <t>סה"כ ביטחונית עם סיכומים- 12</t>
  </si>
  <si>
    <t>הגנ"ש</t>
  </si>
  <si>
    <t>מועצתית מרחבים</t>
  </si>
  <si>
    <t>רמת נגב
7</t>
  </si>
  <si>
    <t>סה"כ מועצתית עם סיכומים - 7</t>
  </si>
  <si>
    <t>סה"כ ישובית עם סיכומים- 118</t>
  </si>
  <si>
    <t>סה"כ זרועי עם סיכומים-  137</t>
  </si>
  <si>
    <t>מטווח ב</t>
  </si>
  <si>
    <t>מטווח א</t>
  </si>
  <si>
    <t>סד"כ רשום</t>
  </si>
  <si>
    <t>סד"כ מבצע</t>
  </si>
  <si>
    <t>אחוז ביצוע</t>
  </si>
  <si>
    <t>מועצתית רמת נגב</t>
  </si>
  <si>
    <t>סה"כ בני שמעון</t>
  </si>
  <si>
    <t>סה"כ רמת נגב</t>
  </si>
  <si>
    <t xml:space="preserve">מרחבים
19
</t>
  </si>
  <si>
    <t>מועצתית בני שמעון</t>
  </si>
  <si>
    <t>סה"כ שדות נגב</t>
  </si>
  <si>
    <t>סה"כ מרחבים</t>
  </si>
  <si>
    <t>מטווח חציון ב</t>
  </si>
  <si>
    <t>רק כאלו שעברו 70%</t>
  </si>
  <si>
    <r>
      <t xml:space="preserve">נדרשים להשלמה
 ל70 אחוז </t>
    </r>
    <r>
      <rPr>
        <b/>
        <sz val="11"/>
        <color rgb="FFFF0000"/>
        <rFont val="Calibri"/>
        <family val="2"/>
        <scheme val="minor"/>
      </rPr>
      <t>הגנש</t>
    </r>
  </si>
  <si>
    <r>
      <t xml:space="preserve">נדרשים להשלמה
 ל70 אחוז </t>
    </r>
    <r>
      <rPr>
        <b/>
        <sz val="11"/>
        <color rgb="FFFF0000"/>
        <rFont val="Calibri"/>
        <family val="2"/>
        <scheme val="minor"/>
      </rPr>
      <t>מטווח</t>
    </r>
  </si>
  <si>
    <t>מסלול / עדי נגב</t>
  </si>
  <si>
    <t>רשומים במסלול</t>
  </si>
  <si>
    <t>אשכול
1</t>
  </si>
  <si>
    <t>חבל יבנה
8</t>
  </si>
  <si>
    <t>באר טוביה
23</t>
  </si>
  <si>
    <t>תכנון</t>
  </si>
  <si>
    <t>ביצוע</t>
  </si>
  <si>
    <t>מטווח חציון א</t>
  </si>
  <si>
    <t>סה"כ אשכול</t>
  </si>
  <si>
    <t>סה"כ לכיש</t>
  </si>
  <si>
    <t>סה"כ חוף אשקלון</t>
  </si>
  <si>
    <t>סה"כ יואב</t>
  </si>
  <si>
    <t>סה"כ שפיר</t>
  </si>
  <si>
    <t>סה"כ חבל יבנה</t>
  </si>
  <si>
    <t>סה"כ באר טוביה</t>
  </si>
  <si>
    <t>חציון א</t>
  </si>
  <si>
    <t>חציון ב</t>
  </si>
  <si>
    <t>כללי</t>
  </si>
  <si>
    <t>לא פעילה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</si>
</sst>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77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b/>
      <sz val="11"/>
      <name val="Calibri"/>
      <family val="2"/>
      <charset val="177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charset val="177"/>
      <scheme val="minor"/>
    </font>
    <font>
      <b/>
      <sz val="9"/>
      <name val="Tahoma"/>
      <family val="2"/>
      <charset val="177"/>
    </font>
    <font>
      <b/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4">
    <border>
      <left/>
      <right/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rgb="FFFF0000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rgb="FFFF0000"/>
      </right>
      <top/>
      <bottom style="thin">
        <color auto="1"/>
      </bottom>
      <diagonal/>
    </border>
    <border>
      <left style="thick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rgb="FFFF0000"/>
      </right>
      <top style="thin">
        <color auto="1"/>
      </top>
      <bottom/>
      <diagonal/>
    </border>
    <border>
      <left style="thick">
        <color auto="1"/>
      </left>
      <right style="thick">
        <color rgb="FFFF0000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rgb="FFFF0000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FF0000"/>
      </left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rgb="FFFF0000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auto="1"/>
      </bottom>
      <diagonal/>
    </border>
    <border>
      <left style="thick">
        <color rgb="FFFF0000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auto="1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rgb="FFFF0000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rgb="FFFF0000"/>
      </right>
      <top/>
      <bottom style="thick">
        <color auto="1"/>
      </bottom>
      <diagonal/>
    </border>
    <border>
      <left style="thick">
        <color rgb="FFFF0000"/>
      </left>
      <right/>
      <top/>
      <bottom style="thick">
        <color auto="1"/>
      </bottom>
      <diagonal/>
    </border>
    <border>
      <left style="thick">
        <color auto="1"/>
      </left>
      <right style="thick">
        <color rgb="FFFF0000"/>
      </right>
      <top/>
      <bottom style="thick">
        <color auto="1"/>
      </bottom>
      <diagonal/>
    </border>
    <border>
      <left style="thick">
        <color rgb="FFFF0000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rgb="FFFF0000"/>
      </right>
      <top/>
      <bottom style="thick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thick">
        <color rgb="FFFF0000"/>
      </left>
      <right/>
      <top style="thin">
        <color auto="1"/>
      </top>
      <bottom/>
      <diagonal/>
    </border>
    <border>
      <left style="thick">
        <color rgb="FFFF0000"/>
      </left>
      <right/>
      <top style="thick">
        <color auto="1"/>
      </top>
      <bottom style="thick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FF0000"/>
      </left>
      <right style="thick">
        <color auto="1"/>
      </right>
      <top style="thick">
        <color rgb="FFFF0000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rgb="FFFF0000"/>
      </top>
      <bottom style="thick">
        <color auto="1"/>
      </bottom>
      <diagonal/>
    </border>
    <border>
      <left/>
      <right style="thick">
        <color auto="1"/>
      </right>
      <top style="thick">
        <color rgb="FFFF0000"/>
      </top>
      <bottom style="thick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auto="1"/>
      </bottom>
      <diagonal/>
    </border>
    <border>
      <left/>
      <right/>
      <top style="thick">
        <color rgb="FFFF0000"/>
      </top>
      <bottom style="thick">
        <color auto="1"/>
      </bottom>
      <diagonal/>
    </border>
    <border>
      <left style="thick">
        <color auto="1"/>
      </left>
      <right/>
      <top style="thick">
        <color rgb="FFFF0000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FF0000"/>
      </left>
      <right/>
      <top style="thick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auto="1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auto="1"/>
      </left>
      <right style="thick">
        <color auto="1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auto="1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rgb="FFFF0000"/>
      </left>
      <right/>
      <top style="thick">
        <color auto="1"/>
      </top>
      <bottom style="thick">
        <color rgb="FFFF0000"/>
      </bottom>
      <diagonal/>
    </border>
    <border>
      <left/>
      <right/>
      <top style="thick">
        <color auto="1"/>
      </top>
      <bottom style="thick">
        <color rgb="FFFF0000"/>
      </bottom>
      <diagonal/>
    </border>
    <border>
      <left/>
      <right style="thick">
        <color rgb="FFFF0000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rgb="FFFF0000"/>
      </left>
      <right style="thin">
        <color auto="1"/>
      </right>
      <top/>
      <bottom/>
      <diagonal/>
    </border>
    <border>
      <left style="thick">
        <color rgb="FFFF0000"/>
      </left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auto="1"/>
      </left>
      <right style="thick">
        <color rgb="FFFF0000"/>
      </right>
      <top style="thick">
        <color rgb="FFFF0000"/>
      </top>
      <bottom/>
      <diagonal/>
    </border>
  </borders>
  <cellStyleXfs count="7">
    <xf numFmtId="0" fontId="0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9" fillId="0" borderId="0" applyNumberFormat="0" applyFill="0" applyBorder="0" applyAlignment="0" applyProtection="0"/>
  </cellStyleXfs>
  <cellXfs count="373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2" borderId="9" xfId="0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5" borderId="17" xfId="0" applyFill="1" applyBorder="1" applyAlignment="1">
      <alignment horizontal="center"/>
    </xf>
    <xf numFmtId="0" fontId="0" fillId="2" borderId="18" xfId="0" applyFill="1" applyBorder="1" applyAlignment="1" applyProtection="1">
      <alignment horizontal="center"/>
      <protection locked="0"/>
    </xf>
    <xf numFmtId="0" fontId="5" fillId="0" borderId="19" xfId="0" applyFont="1" applyBorder="1" applyAlignment="1" applyProtection="1">
      <alignment horizontal="center"/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6" borderId="17" xfId="0" applyFill="1" applyBorder="1" applyAlignment="1">
      <alignment horizontal="center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25" xfId="0" applyFont="1" applyBorder="1" applyAlignment="1" applyProtection="1">
      <alignment horizontal="center"/>
      <protection locked="0"/>
    </xf>
    <xf numFmtId="49" fontId="0" fillId="6" borderId="6" xfId="0" applyNumberForma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0" fillId="6" borderId="27" xfId="0" applyFill="1" applyBorder="1" applyAlignment="1" applyProtection="1">
      <alignment horizontal="center"/>
      <protection locked="0"/>
    </xf>
    <xf numFmtId="0" fontId="0" fillId="6" borderId="28" xfId="0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27" xfId="0" applyBorder="1" applyAlignment="1" applyProtection="1">
      <alignment horizontal="center"/>
      <protection locked="0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 applyProtection="1">
      <alignment horizontal="center" vertical="center"/>
      <protection locked="0"/>
    </xf>
    <xf numFmtId="0" fontId="0" fillId="5" borderId="3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5" xfId="0" applyFill="1" applyBorder="1" applyAlignment="1">
      <alignment horizontal="center"/>
    </xf>
    <xf numFmtId="0" fontId="3" fillId="5" borderId="34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0" borderId="36" xfId="0" applyBorder="1" applyAlignment="1">
      <alignment horizontal="center"/>
    </xf>
    <xf numFmtId="49" fontId="0" fillId="2" borderId="37" xfId="0" applyNumberFormat="1" applyFill="1" applyBorder="1" applyAlignment="1">
      <alignment horizontal="center"/>
    </xf>
    <xf numFmtId="49" fontId="0" fillId="2" borderId="38" xfId="0" applyNumberFormat="1" applyFill="1" applyBorder="1" applyAlignment="1">
      <alignment horizontal="center"/>
    </xf>
    <xf numFmtId="49" fontId="0" fillId="2" borderId="39" xfId="0" applyNumberFormat="1" applyFill="1" applyBorder="1" applyAlignment="1">
      <alignment horizontal="center"/>
    </xf>
    <xf numFmtId="49" fontId="0" fillId="2" borderId="40" xfId="0" applyNumberFormat="1" applyFill="1" applyBorder="1" applyAlignment="1">
      <alignment horizontal="center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3" fillId="5" borderId="39" xfId="0" applyFont="1" applyFill="1" applyBorder="1" applyAlignment="1">
      <alignment horizontal="center"/>
    </xf>
    <xf numFmtId="0" fontId="3" fillId="5" borderId="43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49" fontId="0" fillId="5" borderId="41" xfId="0" applyNumberFormat="1" applyFill="1" applyBorder="1" applyAlignment="1">
      <alignment horizontal="center"/>
    </xf>
    <xf numFmtId="49" fontId="0" fillId="5" borderId="45" xfId="0" applyNumberFormat="1" applyFill="1" applyBorder="1" applyAlignment="1">
      <alignment horizontal="center"/>
    </xf>
    <xf numFmtId="49" fontId="0" fillId="5" borderId="46" xfId="0" applyNumberFormat="1" applyFill="1" applyBorder="1" applyAlignment="1">
      <alignment horizontal="center"/>
    </xf>
    <xf numFmtId="49" fontId="3" fillId="5" borderId="45" xfId="0" applyNumberFormat="1" applyFont="1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2" borderId="12" xfId="0" applyFill="1" applyBorder="1" applyAlignment="1" applyProtection="1">
      <alignment horizontal="center" vertical="center"/>
      <protection locked="0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0" fillId="0" borderId="18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55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0" fillId="5" borderId="41" xfId="0" applyFill="1" applyBorder="1" applyAlignment="1" applyProtection="1">
      <alignment horizontal="center" vertical="center"/>
      <protection locked="0"/>
    </xf>
    <xf numFmtId="0" fontId="0" fillId="5" borderId="14" xfId="0" applyFill="1" applyBorder="1" applyAlignment="1" applyProtection="1">
      <alignment horizontal="center" vertical="center"/>
      <protection locked="0"/>
    </xf>
    <xf numFmtId="0" fontId="0" fillId="5" borderId="56" xfId="0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57" xfId="0" applyFont="1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5" borderId="13" xfId="0" applyFill="1" applyBorder="1" applyAlignment="1" applyProtection="1">
      <alignment horizontal="center" vertical="center"/>
      <protection locked="0"/>
    </xf>
    <xf numFmtId="0" fontId="3" fillId="0" borderId="49" xfId="0" applyFont="1" applyBorder="1" applyAlignment="1" applyProtection="1">
      <alignment horizontal="center"/>
      <protection locked="0"/>
    </xf>
    <xf numFmtId="0" fontId="0" fillId="2" borderId="41" xfId="0" applyFill="1" applyBorder="1" applyAlignment="1" applyProtection="1">
      <alignment horizontal="center" vertical="center"/>
      <protection locked="0"/>
    </xf>
    <xf numFmtId="0" fontId="0" fillId="2" borderId="42" xfId="0" applyFill="1" applyBorder="1" applyAlignment="1">
      <alignment horizontal="center"/>
    </xf>
    <xf numFmtId="0" fontId="0" fillId="0" borderId="59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3" fillId="0" borderId="60" xfId="0" applyFont="1" applyBorder="1" applyAlignment="1" applyProtection="1">
      <alignment horizont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6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63" xfId="0" applyBorder="1" applyAlignment="1" applyProtection="1">
      <alignment horizontal="center"/>
      <protection locked="0"/>
    </xf>
    <xf numFmtId="0" fontId="0" fillId="5" borderId="36" xfId="0" applyFill="1" applyBorder="1" applyAlignment="1">
      <alignment horizontal="center"/>
    </xf>
    <xf numFmtId="0" fontId="2" fillId="0" borderId="64" xfId="0" applyFont="1" applyBorder="1" applyAlignment="1">
      <alignment horizontal="center" vertical="center"/>
    </xf>
    <xf numFmtId="0" fontId="0" fillId="0" borderId="59" xfId="0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3" fillId="0" borderId="60" xfId="0" applyFont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3" fillId="0" borderId="38" xfId="0" applyFont="1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>
      <alignment horizontal="center"/>
    </xf>
    <xf numFmtId="0" fontId="0" fillId="5" borderId="65" xfId="0" applyFill="1" applyBorder="1" applyAlignment="1">
      <alignment horizontal="center"/>
    </xf>
    <xf numFmtId="14" fontId="9" fillId="0" borderId="63" xfId="6" applyNumberForma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4" fillId="2" borderId="66" xfId="0" applyFont="1" applyFill="1" applyBorder="1" applyAlignment="1">
      <alignment horizontal="center"/>
    </xf>
    <xf numFmtId="0" fontId="4" fillId="3" borderId="66" xfId="0" applyFont="1" applyFill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4" fillId="4" borderId="6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4" fontId="9" fillId="2" borderId="9" xfId="6" applyNumberForma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3" fillId="2" borderId="23" xfId="0" applyFont="1" applyFill="1" applyBorder="1" applyAlignment="1" applyProtection="1">
      <alignment horizontal="center"/>
      <protection locked="0"/>
    </xf>
    <xf numFmtId="0" fontId="2" fillId="5" borderId="67" xfId="0" applyFont="1" applyFill="1" applyBorder="1" applyAlignment="1">
      <alignment horizontal="center" vertical="center"/>
    </xf>
    <xf numFmtId="0" fontId="2" fillId="5" borderId="68" xfId="0" applyFont="1" applyFill="1" applyBorder="1" applyAlignment="1">
      <alignment horizontal="center" vertical="center"/>
    </xf>
    <xf numFmtId="0" fontId="6" fillId="5" borderId="69" xfId="0" applyFont="1" applyFill="1" applyBorder="1" applyAlignment="1">
      <alignment horizontal="center" vertical="center"/>
    </xf>
    <xf numFmtId="0" fontId="2" fillId="5" borderId="70" xfId="0" applyFont="1" applyFill="1" applyBorder="1" applyAlignment="1">
      <alignment horizontal="center" vertical="center"/>
    </xf>
    <xf numFmtId="0" fontId="2" fillId="6" borderId="67" xfId="0" applyFont="1" applyFill="1" applyBorder="1" applyAlignment="1">
      <alignment horizontal="center" vertical="center"/>
    </xf>
    <xf numFmtId="0" fontId="2" fillId="6" borderId="71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0" fontId="2" fillId="3" borderId="67" xfId="0" applyFont="1" applyFill="1" applyBorder="1" applyAlignment="1">
      <alignment horizontal="center" vertical="center"/>
    </xf>
    <xf numFmtId="0" fontId="2" fillId="3" borderId="68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0" fontId="2" fillId="3" borderId="70" xfId="0" applyFont="1" applyFill="1" applyBorder="1" applyAlignment="1">
      <alignment horizontal="center" vertical="center"/>
    </xf>
    <xf numFmtId="0" fontId="0" fillId="2" borderId="4" xfId="0" applyFill="1" applyBorder="1" applyAlignment="1" applyProtection="1">
      <alignment horizontal="center"/>
      <protection locked="0"/>
    </xf>
    <xf numFmtId="0" fontId="3" fillId="2" borderId="55" xfId="0" applyFont="1" applyFill="1" applyBorder="1" applyAlignment="1" applyProtection="1">
      <alignment horizontal="center"/>
      <protection locked="0"/>
    </xf>
    <xf numFmtId="14" fontId="9" fillId="2" borderId="27" xfId="6" applyNumberFormat="1" applyFill="1" applyBorder="1" applyAlignment="1" applyProtection="1">
      <alignment horizontal="center"/>
      <protection locked="0"/>
    </xf>
    <xf numFmtId="14" fontId="9" fillId="2" borderId="28" xfId="6" applyNumberFormat="1" applyFill="1" applyBorder="1" applyAlignment="1" applyProtection="1">
      <alignment horizontal="center"/>
      <protection locked="0"/>
    </xf>
    <xf numFmtId="14" fontId="9" fillId="2" borderId="18" xfId="6" applyNumberFormat="1" applyFill="1" applyBorder="1" applyAlignment="1" applyProtection="1">
      <alignment horizontal="center"/>
      <protection locked="0"/>
    </xf>
    <xf numFmtId="14" fontId="9" fillId="6" borderId="28" xfId="6" applyNumberFormat="1" applyFill="1" applyBorder="1" applyAlignment="1" applyProtection="1">
      <alignment horizontal="center"/>
      <protection locked="0"/>
    </xf>
    <xf numFmtId="0" fontId="0" fillId="6" borderId="3" xfId="0" applyFill="1" applyBorder="1" applyAlignment="1" applyProtection="1">
      <alignment horizontal="center"/>
      <protection locked="0"/>
    </xf>
    <xf numFmtId="0" fontId="3" fillId="6" borderId="19" xfId="0" applyFont="1" applyFill="1" applyBorder="1" applyAlignment="1" applyProtection="1">
      <alignment horizontal="center"/>
      <protection locked="0"/>
    </xf>
    <xf numFmtId="0" fontId="0" fillId="6" borderId="5" xfId="0" applyFill="1" applyBorder="1" applyAlignment="1" applyProtection="1">
      <alignment horizontal="center"/>
      <protection locked="0"/>
    </xf>
    <xf numFmtId="14" fontId="9" fillId="0" borderId="27" xfId="6" applyNumberFormat="1" applyFill="1" applyBorder="1" applyAlignment="1" applyProtection="1">
      <alignment horizontal="center"/>
      <protection locked="0"/>
    </xf>
    <xf numFmtId="14" fontId="0" fillId="0" borderId="27" xfId="0" applyNumberFormat="1" applyBorder="1" applyAlignment="1" applyProtection="1">
      <alignment horizontal="center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0" fontId="0" fillId="0" borderId="28" xfId="0" applyBorder="1"/>
    <xf numFmtId="0" fontId="0" fillId="0" borderId="23" xfId="0" applyBorder="1" applyAlignment="1" applyProtection="1">
      <alignment horizontal="center"/>
      <protection locked="0"/>
    </xf>
    <xf numFmtId="0" fontId="0" fillId="0" borderId="5" xfId="0" applyBorder="1"/>
    <xf numFmtId="14" fontId="9" fillId="2" borderId="27" xfId="6" applyNumberFormat="1" applyFill="1" applyBorder="1" applyAlignment="1">
      <alignment horizontal="center"/>
    </xf>
    <xf numFmtId="14" fontId="9" fillId="2" borderId="3" xfId="6" applyNumberFormat="1" applyFill="1" applyBorder="1" applyAlignment="1">
      <alignment horizontal="center"/>
    </xf>
    <xf numFmtId="0" fontId="0" fillId="2" borderId="23" xfId="0" applyFill="1" applyBorder="1" applyAlignment="1" applyProtection="1">
      <alignment horizontal="center"/>
      <protection locked="0"/>
    </xf>
    <xf numFmtId="0" fontId="5" fillId="2" borderId="19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0" fillId="2" borderId="27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6" borderId="63" xfId="0" applyFill="1" applyBorder="1" applyAlignment="1">
      <alignment horizontal="center"/>
    </xf>
    <xf numFmtId="49" fontId="0" fillId="5" borderId="41" xfId="0" applyNumberForma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14" fontId="0" fillId="0" borderId="28" xfId="0" applyNumberFormat="1" applyBorder="1" applyAlignment="1" applyProtection="1">
      <alignment horizontal="center"/>
      <protection locked="0"/>
    </xf>
    <xf numFmtId="14" fontId="0" fillId="0" borderId="18" xfId="0" applyNumberFormat="1" applyBorder="1" applyAlignment="1" applyProtection="1">
      <alignment horizontal="center"/>
      <protection locked="0"/>
    </xf>
    <xf numFmtId="14" fontId="0" fillId="0" borderId="17" xfId="0" applyNumberFormat="1" applyBorder="1" applyAlignment="1" applyProtection="1">
      <alignment horizontal="center"/>
      <protection locked="0"/>
    </xf>
    <xf numFmtId="14" fontId="0" fillId="0" borderId="36" xfId="0" applyNumberFormat="1" applyBorder="1" applyAlignment="1" applyProtection="1">
      <alignment horizontal="center" vertical="center"/>
      <protection locked="0"/>
    </xf>
    <xf numFmtId="14" fontId="0" fillId="0" borderId="59" xfId="0" applyNumberFormat="1" applyBorder="1" applyAlignment="1" applyProtection="1">
      <alignment horizontal="center" vertical="center"/>
      <protection locked="0"/>
    </xf>
    <xf numFmtId="0" fontId="0" fillId="0" borderId="73" xfId="0" applyBorder="1" applyAlignment="1" applyProtection="1">
      <alignment horizontal="center"/>
      <protection locked="0"/>
    </xf>
    <xf numFmtId="0" fontId="0" fillId="0" borderId="74" xfId="0" applyBorder="1" applyAlignment="1" applyProtection="1">
      <alignment horizontal="center"/>
      <protection locked="0"/>
    </xf>
    <xf numFmtId="0" fontId="0" fillId="5" borderId="37" xfId="0" applyFill="1" applyBorder="1" applyAlignment="1" applyProtection="1">
      <alignment horizontal="center"/>
      <protection locked="0"/>
    </xf>
    <xf numFmtId="0" fontId="0" fillId="0" borderId="75" xfId="0" applyBorder="1" applyAlignment="1" applyProtection="1">
      <alignment horizontal="center"/>
      <protection locked="0"/>
    </xf>
    <xf numFmtId="0" fontId="0" fillId="2" borderId="74" xfId="0" applyFill="1" applyBorder="1" applyAlignment="1" applyProtection="1">
      <alignment horizontal="center"/>
      <protection locked="0"/>
    </xf>
    <xf numFmtId="0" fontId="0" fillId="5" borderId="52" xfId="0" applyFill="1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5" borderId="51" xfId="0" applyFill="1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76" xfId="0" applyBorder="1" applyAlignment="1" applyProtection="1">
      <alignment horizontal="center"/>
      <protection locked="0"/>
    </xf>
    <xf numFmtId="0" fontId="0" fillId="0" borderId="77" xfId="0" applyBorder="1" applyAlignment="1" applyProtection="1">
      <alignment horizontal="center"/>
      <protection locked="0"/>
    </xf>
    <xf numFmtId="0" fontId="0" fillId="2" borderId="51" xfId="0" applyFill="1" applyBorder="1" applyAlignment="1" applyProtection="1">
      <alignment horizontal="center"/>
      <protection locked="0"/>
    </xf>
    <xf numFmtId="0" fontId="0" fillId="2" borderId="37" xfId="0" applyFill="1" applyBorder="1" applyAlignment="1" applyProtection="1">
      <alignment horizontal="center"/>
      <protection locked="0"/>
    </xf>
    <xf numFmtId="0" fontId="0" fillId="0" borderId="6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5" borderId="63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6" borderId="65" xfId="0" applyFill="1" applyBorder="1" applyAlignment="1">
      <alignment horizontal="center"/>
    </xf>
    <xf numFmtId="0" fontId="0" fillId="5" borderId="79" xfId="0" applyFill="1" applyBorder="1" applyAlignment="1">
      <alignment horizontal="center"/>
    </xf>
    <xf numFmtId="0" fontId="0" fillId="2" borderId="80" xfId="0" applyFill="1" applyBorder="1" applyAlignment="1">
      <alignment horizontal="center"/>
    </xf>
    <xf numFmtId="49" fontId="0" fillId="2" borderId="80" xfId="0" applyNumberFormat="1" applyFill="1" applyBorder="1" applyAlignment="1">
      <alignment horizontal="center"/>
    </xf>
    <xf numFmtId="49" fontId="0" fillId="2" borderId="81" xfId="0" applyNumberFormat="1" applyFill="1" applyBorder="1" applyAlignment="1">
      <alignment horizontal="center"/>
    </xf>
    <xf numFmtId="49" fontId="3" fillId="2" borderId="82" xfId="0" applyNumberFormat="1" applyFont="1" applyFill="1" applyBorder="1" applyAlignment="1">
      <alignment horizontal="center"/>
    </xf>
    <xf numFmtId="0" fontId="0" fillId="2" borderId="83" xfId="0" applyFill="1" applyBorder="1" applyAlignment="1" applyProtection="1">
      <alignment horizontal="center" vertical="center"/>
      <protection locked="0"/>
    </xf>
    <xf numFmtId="0" fontId="0" fillId="2" borderId="84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49" fontId="0" fillId="6" borderId="66" xfId="0" applyNumberFormat="1" applyFill="1" applyBorder="1" applyAlignment="1">
      <alignment horizontal="center"/>
    </xf>
    <xf numFmtId="49" fontId="0" fillId="6" borderId="65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5" fillId="0" borderId="85" xfId="0" applyFont="1" applyBorder="1" applyAlignment="1" applyProtection="1">
      <alignment horizontal="center"/>
      <protection locked="0"/>
    </xf>
    <xf numFmtId="0" fontId="5" fillId="0" borderId="86" xfId="0" applyFont="1" applyBorder="1" applyAlignment="1" applyProtection="1">
      <alignment horizontal="center"/>
      <protection locked="0"/>
    </xf>
    <xf numFmtId="14" fontId="9" fillId="2" borderId="62" xfId="6" applyNumberFormat="1" applyFill="1" applyBorder="1" applyAlignment="1" applyProtection="1">
      <alignment horizontal="center"/>
      <protection locked="0"/>
    </xf>
    <xf numFmtId="14" fontId="9" fillId="2" borderId="61" xfId="6" applyNumberFormat="1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5" fillId="2" borderId="20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3" fillId="2" borderId="20" xfId="0" applyFont="1" applyFill="1" applyBorder="1" applyAlignment="1" applyProtection="1">
      <alignment horizontal="center"/>
      <protection locked="0"/>
    </xf>
    <xf numFmtId="14" fontId="9" fillId="6" borderId="18" xfId="6" applyNumberFormat="1" applyFill="1" applyBorder="1" applyAlignment="1" applyProtection="1">
      <alignment horizontal="center"/>
      <protection locked="0"/>
    </xf>
    <xf numFmtId="0" fontId="0" fillId="2" borderId="62" xfId="0" applyFill="1" applyBorder="1" applyAlignment="1" applyProtection="1">
      <alignment horizontal="center"/>
      <protection locked="0"/>
    </xf>
    <xf numFmtId="14" fontId="9" fillId="6" borderId="9" xfId="6" applyNumberFormat="1" applyFill="1" applyBorder="1" applyAlignment="1" applyProtection="1">
      <alignment horizontal="center"/>
      <protection locked="0"/>
    </xf>
    <xf numFmtId="0" fontId="0" fillId="6" borderId="9" xfId="0" applyFill="1" applyBorder="1" applyAlignment="1" applyProtection="1">
      <alignment horizontal="center"/>
      <protection locked="0"/>
    </xf>
    <xf numFmtId="14" fontId="9" fillId="0" borderId="6" xfId="6" applyNumberFormat="1" applyFill="1" applyBorder="1" applyAlignment="1" applyProtection="1">
      <alignment horizontal="center"/>
      <protection locked="0"/>
    </xf>
    <xf numFmtId="14" fontId="0" fillId="0" borderId="51" xfId="0" applyNumberForma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3" fillId="0" borderId="66" xfId="0" applyFont="1" applyBorder="1" applyAlignment="1" applyProtection="1">
      <alignment horizontal="center"/>
      <protection locked="0"/>
    </xf>
    <xf numFmtId="14" fontId="9" fillId="0" borderId="61" xfId="6" applyNumberFormat="1" applyFill="1" applyBorder="1" applyAlignment="1" applyProtection="1">
      <alignment horizontal="center"/>
      <protection locked="0"/>
    </xf>
    <xf numFmtId="14" fontId="0" fillId="0" borderId="61" xfId="0" applyNumberForma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14" fontId="9" fillId="6" borderId="27" xfId="6" applyNumberFormat="1" applyFill="1" applyBorder="1" applyAlignment="1" applyProtection="1">
      <alignment horizontal="center"/>
      <protection locked="0"/>
    </xf>
    <xf numFmtId="0" fontId="0" fillId="2" borderId="61" xfId="0" applyFill="1" applyBorder="1" applyAlignment="1" applyProtection="1">
      <alignment horizontal="center"/>
      <protection locked="0"/>
    </xf>
    <xf numFmtId="0" fontId="0" fillId="6" borderId="11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6" borderId="17" xfId="0" applyFill="1" applyBorder="1" applyAlignment="1" applyProtection="1">
      <alignment horizontal="center"/>
      <protection locked="0"/>
    </xf>
    <xf numFmtId="0" fontId="0" fillId="6" borderId="6" xfId="0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locked="0"/>
    </xf>
    <xf numFmtId="0" fontId="5" fillId="6" borderId="19" xfId="0" applyFont="1" applyFill="1" applyBorder="1" applyAlignment="1" applyProtection="1">
      <alignment horizontal="center"/>
      <protection locked="0"/>
    </xf>
    <xf numFmtId="0" fontId="3" fillId="6" borderId="3" xfId="0" applyFont="1" applyFill="1" applyBorder="1" applyAlignment="1" applyProtection="1">
      <alignment horizontal="center"/>
      <protection locked="0"/>
    </xf>
    <xf numFmtId="0" fontId="0" fillId="6" borderId="18" xfId="0" applyFill="1" applyBorder="1" applyAlignment="1" applyProtection="1">
      <alignment horizontal="center"/>
      <protection locked="0"/>
    </xf>
    <xf numFmtId="14" fontId="9" fillId="0" borderId="18" xfId="6" applyNumberFormat="1" applyFill="1" applyBorder="1" applyAlignment="1" applyProtection="1">
      <alignment horizontal="center"/>
      <protection locked="0"/>
    </xf>
    <xf numFmtId="0" fontId="5" fillId="6" borderId="20" xfId="0" applyFont="1" applyFill="1" applyBorder="1" applyAlignment="1" applyProtection="1">
      <alignment horizontal="center"/>
      <protection locked="0"/>
    </xf>
    <xf numFmtId="0" fontId="3" fillId="6" borderId="4" xfId="0" applyFont="1" applyFill="1" applyBorder="1" applyAlignment="1" applyProtection="1">
      <alignment horizontal="center"/>
      <protection locked="0"/>
    </xf>
    <xf numFmtId="0" fontId="3" fillId="2" borderId="57" xfId="0" applyFont="1" applyFill="1" applyBorder="1" applyAlignment="1" applyProtection="1">
      <alignment horizontal="center"/>
      <protection locked="0"/>
    </xf>
    <xf numFmtId="14" fontId="9" fillId="6" borderId="33" xfId="6" applyNumberFormat="1" applyFill="1" applyBorder="1" applyAlignment="1" applyProtection="1">
      <alignment horizontal="center"/>
      <protection locked="0"/>
    </xf>
    <xf numFmtId="0" fontId="0" fillId="6" borderId="33" xfId="0" applyFill="1" applyBorder="1" applyAlignment="1" applyProtection="1">
      <alignment horizontal="center"/>
      <protection locked="0"/>
    </xf>
    <xf numFmtId="0" fontId="3" fillId="6" borderId="0" xfId="0" applyFont="1" applyFill="1" applyAlignment="1" applyProtection="1">
      <alignment horizontal="center"/>
      <protection locked="0"/>
    </xf>
    <xf numFmtId="14" fontId="9" fillId="7" borderId="27" xfId="6" applyNumberFormat="1" applyFill="1" applyBorder="1" applyAlignment="1" applyProtection="1">
      <alignment horizontal="center"/>
      <protection locked="0"/>
    </xf>
    <xf numFmtId="0" fontId="3" fillId="6" borderId="57" xfId="0" applyFont="1" applyFill="1" applyBorder="1" applyAlignment="1" applyProtection="1">
      <alignment horizontal="center"/>
      <protection locked="0"/>
    </xf>
    <xf numFmtId="14" fontId="0" fillId="7" borderId="27" xfId="0" applyNumberFormat="1" applyFill="1" applyBorder="1" applyAlignment="1" applyProtection="1">
      <alignment horizontal="center"/>
      <protection locked="0"/>
    </xf>
    <xf numFmtId="0" fontId="3" fillId="6" borderId="5" xfId="0" applyFont="1" applyFill="1" applyBorder="1" applyAlignment="1" applyProtection="1">
      <alignment horizontal="center"/>
      <protection locked="0"/>
    </xf>
    <xf numFmtId="14" fontId="9" fillId="2" borderId="33" xfId="6" applyNumberFormat="1" applyFill="1" applyBorder="1" applyAlignment="1" applyProtection="1">
      <alignment horizontal="center"/>
      <protection locked="0"/>
    </xf>
    <xf numFmtId="14" fontId="9" fillId="7" borderId="18" xfId="6" applyNumberFormat="1" applyFill="1" applyBorder="1" applyAlignment="1" applyProtection="1">
      <alignment horizontal="center"/>
      <protection locked="0"/>
    </xf>
    <xf numFmtId="0" fontId="3" fillId="2" borderId="25" xfId="0" applyFont="1" applyFill="1" applyBorder="1" applyAlignment="1" applyProtection="1">
      <alignment horizontal="center"/>
      <protection locked="0"/>
    </xf>
    <xf numFmtId="0" fontId="3" fillId="2" borderId="24" xfId="0" applyFont="1" applyFill="1" applyBorder="1" applyAlignment="1" applyProtection="1">
      <alignment horizontal="center"/>
      <protection locked="0"/>
    </xf>
    <xf numFmtId="14" fontId="0" fillId="7" borderId="6" xfId="0" applyNumberFormat="1" applyFill="1" applyBorder="1" applyAlignment="1" applyProtection="1">
      <alignment horizontal="center"/>
      <protection locked="0"/>
    </xf>
    <xf numFmtId="0" fontId="0" fillId="2" borderId="33" xfId="0" applyFill="1" applyBorder="1" applyAlignment="1" applyProtection="1">
      <alignment horizontal="center"/>
      <protection locked="0"/>
    </xf>
    <xf numFmtId="0" fontId="3" fillId="6" borderId="55" xfId="0" applyFont="1" applyFill="1" applyBorder="1" applyAlignment="1" applyProtection="1">
      <alignment horizontal="center"/>
      <protection locked="0"/>
    </xf>
    <xf numFmtId="0" fontId="0" fillId="6" borderId="36" xfId="0" applyFill="1" applyBorder="1" applyAlignment="1" applyProtection="1">
      <alignment horizontal="center"/>
      <protection locked="0"/>
    </xf>
    <xf numFmtId="0" fontId="0" fillId="6" borderId="59" xfId="0" applyFill="1" applyBorder="1" applyAlignment="1" applyProtection="1">
      <alignment horizontal="center"/>
      <protection locked="0"/>
    </xf>
    <xf numFmtId="0" fontId="3" fillId="6" borderId="60" xfId="0" applyFont="1" applyFill="1" applyBorder="1" applyAlignment="1" applyProtection="1">
      <alignment horizontal="center"/>
      <protection locked="0"/>
    </xf>
    <xf numFmtId="14" fontId="9" fillId="6" borderId="36" xfId="6" applyNumberFormat="1" applyFill="1" applyBorder="1" applyAlignment="1" applyProtection="1">
      <alignment horizontal="center"/>
      <protection locked="0"/>
    </xf>
    <xf numFmtId="14" fontId="9" fillId="6" borderId="17" xfId="6" applyNumberForma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 applyProtection="1">
      <alignment horizontal="center"/>
      <protection locked="0"/>
    </xf>
    <xf numFmtId="14" fontId="0" fillId="0" borderId="9" xfId="0" applyNumberFormat="1" applyBorder="1" applyAlignment="1" applyProtection="1">
      <alignment horizontal="center"/>
      <protection locked="0"/>
    </xf>
    <xf numFmtId="14" fontId="9" fillId="0" borderId="28" xfId="6" applyNumberFormat="1" applyFill="1" applyBorder="1" applyAlignment="1" applyProtection="1">
      <alignment horizontal="center"/>
      <protection locked="0"/>
    </xf>
    <xf numFmtId="14" fontId="0" fillId="2" borderId="27" xfId="0" applyNumberFormat="1" applyFill="1" applyBorder="1" applyAlignment="1" applyProtection="1">
      <alignment horizontal="center"/>
      <protection locked="0"/>
    </xf>
    <xf numFmtId="14" fontId="0" fillId="2" borderId="28" xfId="0" applyNumberFormat="1" applyFill="1" applyBorder="1" applyAlignment="1" applyProtection="1">
      <alignment horizontal="center"/>
      <protection locked="0"/>
    </xf>
    <xf numFmtId="14" fontId="9" fillId="2" borderId="59" xfId="6" applyNumberFormat="1" applyFill="1" applyBorder="1" applyAlignment="1" applyProtection="1">
      <alignment horizontal="center"/>
      <protection locked="0"/>
    </xf>
    <xf numFmtId="0" fontId="0" fillId="6" borderId="4" xfId="0" applyFill="1" applyBorder="1" applyAlignment="1" applyProtection="1">
      <alignment horizontal="center"/>
      <protection locked="0"/>
    </xf>
    <xf numFmtId="0" fontId="0" fillId="2" borderId="59" xfId="0" applyFill="1" applyBorder="1" applyAlignment="1" applyProtection="1">
      <alignment horizontal="center"/>
      <protection locked="0"/>
    </xf>
    <xf numFmtId="0" fontId="5" fillId="2" borderId="60" xfId="0" applyFont="1" applyFill="1" applyBorder="1" applyAlignment="1" applyProtection="1">
      <alignment horizontal="center"/>
      <protection locked="0"/>
    </xf>
    <xf numFmtId="0" fontId="3" fillId="2" borderId="59" xfId="0" applyFont="1" applyFill="1" applyBorder="1" applyAlignment="1" applyProtection="1">
      <alignment horizontal="center"/>
      <protection locked="0"/>
    </xf>
    <xf numFmtId="0" fontId="2" fillId="3" borderId="96" xfId="0" applyFont="1" applyFill="1" applyBorder="1" applyAlignment="1">
      <alignment horizontal="center" vertical="center" wrapText="1"/>
    </xf>
    <xf numFmtId="0" fontId="2" fillId="3" borderId="84" xfId="0" applyFont="1" applyFill="1" applyBorder="1" applyAlignment="1">
      <alignment horizontal="center" vertical="center"/>
    </xf>
    <xf numFmtId="0" fontId="2" fillId="5" borderId="96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/>
    </xf>
    <xf numFmtId="0" fontId="7" fillId="5" borderId="97" xfId="0" applyFont="1" applyFill="1" applyBorder="1" applyAlignment="1">
      <alignment horizontal="center"/>
    </xf>
    <xf numFmtId="0" fontId="7" fillId="5" borderId="98" xfId="0" applyFont="1" applyFill="1" applyBorder="1" applyAlignment="1">
      <alignment horizontal="center"/>
    </xf>
    <xf numFmtId="0" fontId="7" fillId="5" borderId="99" xfId="0" applyFont="1" applyFill="1" applyBorder="1" applyAlignment="1">
      <alignment horizontal="center"/>
    </xf>
    <xf numFmtId="0" fontId="7" fillId="6" borderId="97" xfId="0" applyFont="1" applyFill="1" applyBorder="1" applyAlignment="1">
      <alignment horizontal="center"/>
    </xf>
    <xf numFmtId="0" fontId="7" fillId="6" borderId="98" xfId="0" applyFont="1" applyFill="1" applyBorder="1" applyAlignment="1">
      <alignment horizontal="center"/>
    </xf>
    <xf numFmtId="0" fontId="7" fillId="3" borderId="100" xfId="0" applyFont="1" applyFill="1" applyBorder="1" applyAlignment="1">
      <alignment horizontal="center"/>
    </xf>
    <xf numFmtId="0" fontId="7" fillId="3" borderId="101" xfId="0" applyFont="1" applyFill="1" applyBorder="1" applyAlignment="1">
      <alignment horizontal="center"/>
    </xf>
    <xf numFmtId="0" fontId="7" fillId="3" borderId="102" xfId="0" applyFont="1" applyFill="1" applyBorder="1" applyAlignment="1">
      <alignment horizontal="center"/>
    </xf>
    <xf numFmtId="0" fontId="2" fillId="6" borderId="103" xfId="0" applyFont="1" applyFill="1" applyBorder="1" applyAlignment="1">
      <alignment horizontal="center" vertical="center" wrapText="1"/>
    </xf>
    <xf numFmtId="0" fontId="2" fillId="6" borderId="8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93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 wrapText="1"/>
    </xf>
    <xf numFmtId="0" fontId="3" fillId="0" borderId="95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0" xfId="0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76" xfId="0" applyFont="1" applyBorder="1" applyAlignment="1">
      <alignment horizontal="center" vertical="center"/>
    </xf>
    <xf numFmtId="0" fontId="4" fillId="4" borderId="5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2" borderId="87" xfId="0" applyFill="1" applyBorder="1" applyAlignment="1">
      <alignment horizontal="center"/>
    </xf>
    <xf numFmtId="0" fontId="0" fillId="2" borderId="88" xfId="0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5" borderId="89" xfId="0" applyFont="1" applyFill="1" applyBorder="1" applyAlignment="1">
      <alignment horizontal="center" vertical="center"/>
    </xf>
    <xf numFmtId="0" fontId="3" fillId="5" borderId="90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5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14" fontId="9" fillId="5" borderId="27" xfId="6" applyNumberFormat="1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3" fillId="5" borderId="19" xfId="0" applyFont="1" applyFill="1" applyBorder="1" applyAlignment="1" applyProtection="1">
      <alignment horizontal="center"/>
      <protection locked="0"/>
    </xf>
    <xf numFmtId="14" fontId="9" fillId="5" borderId="18" xfId="6" applyNumberFormat="1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3" fillId="5" borderId="55" xfId="0" applyFont="1" applyFill="1" applyBorder="1" applyAlignment="1" applyProtection="1">
      <alignment horizontal="center"/>
      <protection locked="0"/>
    </xf>
    <xf numFmtId="14" fontId="9" fillId="5" borderId="28" xfId="6" applyNumberFormat="1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3" fillId="5" borderId="20" xfId="0" applyFont="1" applyFill="1" applyBorder="1" applyAlignment="1" applyProtection="1">
      <alignment horizontal="center"/>
      <protection locked="0"/>
    </xf>
    <xf numFmtId="14" fontId="0" fillId="5" borderId="27" xfId="0" applyNumberFormat="1" applyFill="1" applyBorder="1" applyAlignment="1" applyProtection="1">
      <alignment horizontal="center"/>
      <protection locked="0"/>
    </xf>
    <xf numFmtId="14" fontId="9" fillId="5" borderId="33" xfId="6" applyNumberFormat="1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/>
      <protection locked="0"/>
    </xf>
  </cellXfs>
  <cellStyles count="7">
    <cellStyle name="Hyperlink" xfId="6" builtinId="8"/>
    <cellStyle name="Normal" xfId="0" builtinId="0"/>
    <cellStyle name="Normal 10" xfId="4" xr:uid="{00000000-0005-0000-0000-000009000000}"/>
    <cellStyle name="Normal 2" xfId="1" xr:uid="{00000000-0005-0000-0000-000006000000}"/>
    <cellStyle name="Normal 2 11 2 6 2" xfId="5" xr:uid="{00000000-0005-0000-0000-00000A000000}"/>
    <cellStyle name="Normal 3" xfId="2" xr:uid="{00000000-0005-0000-0000-000007000000}"/>
    <cellStyle name="Normal 4" xfId="3" xr:uid="{00000000-0005-0000-0000-000008000000}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5&#1508;&#1511;&#1493;&#1491;&#1492;%20&#1488;&#1497;&#1502;&#1493;&#1503;%20&#1492;&#1490;&#1504;&#1513;%20&#1499;&#1508;&#1512;%20&#1502;&#1504;&#1495;&#1501;%20&#1493;&#1499;&#1508;&#1512;%20&#1492;&#1512;&#1497;&#1507;%2011.3.26.docx" TargetMode="External"/><Relationship Id="rId21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&#1508;&#1511;&#1493;&#1491;&#1492;%20&#1502;&#1496;&#1493;&#1493;&#1495;%20&#1495;&#1510;&#1497;&#1493;&#1503;%20&#1490;&#1497;&#1488;&#1492;%20&#1493;&#1502;&#1489;&#1511;&#1497;&#1506;&#1497;&#1501;%2014.1.26.docx" TargetMode="External"/><Relationship Id="rId42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7&#1508;&#1511;&#1493;&#1491;&#1492;%20&#1502;&#1496;&#1493;&#1493;&#1495;%20&#1495;&#1510;&#1497;&#1493;&#1503;%20&#1488;%20&#1494;&#1489;&#1491;&#1497;&#1488;&#1500;%20&#1493;&#1512;&#1493;&#1493;&#1495;&#1492;%20%2027.1.26.docx" TargetMode="External"/><Relationship Id="rId63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3&#1508;&#1511;&#1493;&#1491;&#1492;%20&#1488;&#1497;&#1502;&#1493;&#1503;%20&#1492;&#1490;&#1504;&#1513;%20&#1489;&#1512;&#1493;&#1513;,%20&#1514;&#1491;&#1492;&#1512;%20&#1493;&#1514;&#1488;&#1513;&#1493;&#1512;%2011.2.26.docx" TargetMode="External"/><Relationship Id="rId84" Type="http://schemas.openxmlformats.org/officeDocument/2006/relationships/hyperlink" Target="file://///prfs1/u031202443/my%20documents/6&#1500;&#1499;&#1497;&#1513;/&#1502;&#1496;&#1493;&#1493;&#1495;%20&#1495;&#1510;&#1497;&#1493;&#1503;%20&#1488;/7&#1508;&#1511;&#1493;&#1491;&#1492;%20&#1502;&#1496;&#1493;&#1493;&#1495;%20&#1495;&#1510;&#1497;&#1493;&#1503;%20&#1488;%20&#1499;&#1499;%20&#1497;&#1491;%20&#1504;&#1514;&#1503;,%20&#1513;&#1491;&#1492;%20&#1502;&#1513;&#1492;,%20&#1502;&#1504;&#1493;&#1495;&#1492;%20&#1493;&#1492;&#1513;&#1500;&#1502;&#1493;&#1514;%2026.2.26.docx" TargetMode="External"/><Relationship Id="rId138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13&#1508;&#1511;&#1493;&#1491;&#1492;%20&#1502;&#1496;&#1493;&#1493;&#1495;%20&#1495;&#1510;&#1497;&#1493;&#1503;%20&#1488;%20&#1513;&#1491;&#1492;%20&#1506;&#1493;&#1494;&#1497;&#1492;&#1493;%2022.3.26.docx" TargetMode="External"/><Relationship Id="rId159" Type="http://schemas.openxmlformats.org/officeDocument/2006/relationships/hyperlink" Target="file:///C:/Users/u322462300/AppData/Local/Microsoft/Windows/Temporary%20Internet%20Files/Content.Outlook/NL0W8GMU/2&#1512;&#1502;&#1514;%20&#1504;&#1490;&#1489;/&#1488;&#1497;&#1502;&#1493;&#1503;%20&#1492;&#1490;&#1504;&#1513;/2&#1505;&#1497;&#1499;&#1493;&#1501;%20&#1488;&#1497;&#1502;&#1493;&#1503;%20&#1492;&#1490;&#1504;&#1513;%20&#1496;&#1500;&#1500;&#1497;&#1501;,%20&#1502;.&#1489;.&#1490;%20&#1493;&#1502;&#1513;&#1488;&#1489;&#1497;%20&#1513;&#1491;&#1492;%2025.3.26.docx" TargetMode="External"/><Relationship Id="rId107" Type="http://schemas.openxmlformats.org/officeDocument/2006/relationships/hyperlink" Target="file:///C:/Users/u322462300/AppData/Local/Microsoft/Windows/Temporary%20Internet%20Files/Content.Outlook/NL0W8GMU/8&#1497;&#1493;&#1488;&#1489;/&#1502;&#1496;&#1493;&#1493;&#1495;%20&#1495;&#1510;&#1497;&#1493;&#1503;%20&#1488;/4&#1505;&#1497;&#1499;&#1493;&#1501;%20&#1502;&#1496;&#1493;&#1493;&#1495;%20&#1495;&#1510;&#1497;&#1493;&#1503;%20&#1488;%20&#1489;&#1497;&#1514;%20&#1490;&#1493;&#1489;&#1512;&#1497;&#1503;%206.3.26.docx" TargetMode="External"/><Relationship Id="rId11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3&#1508;&#1511;&#1493;&#1491;&#1492;%20&#1488;&#1497;&#1502;&#1493;&#1503;%20&#1492;&#1490;&#1504;&#1513;%20&#1490;&#1514;%2021.1.26.docx" TargetMode="External"/><Relationship Id="rId32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4&#1505;&#1497;&#1499;&#1493;&#1501;%20&#1488;&#1497;&#1502;&#1493;&#1503;%20&#1492;&#1490;&#1504;&#1513;%20&#1490;&#1514;%2021.1.26.docx" TargetMode="External"/><Relationship Id="rId53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3&#1508;&#1511;&#1493;&#1491;&#1492;%20&#1502;&#1496;&#1493;&#1493;&#1495;%20&#1495;&#1510;&#1497;&#1493;&#1503;%20&#1488;%20&#1499;&#1499;%20&#1514;&#1500;&#1502;&#1497;&#1501;%20&#1493;&#1492;&#1513;&#1500;&#1502;&#1493;&#1514;%204.2.26.docx" TargetMode="External"/><Relationship Id="rId74" Type="http://schemas.openxmlformats.org/officeDocument/2006/relationships/hyperlink" Target="file://///prfs1/u031202443/my%20documents/1&#1489;&#1504;&#1497;%20&#1513;&#1502;&#1506;&#1493;&#1503;/&#1502;&#1496;&#1493;&#1493;&#1495;%20&#1495;&#1510;&#1497;&#1493;&#1503;%20&#1488;/5&#1508;&#1511;&#1493;&#1491;&#1492;%20&#1502;&#1496;&#1493;&#1493;&#1495;%20&#1495;&#1510;&#1497;&#1493;&#1503;%20&#1488;%20&#1489;&#1497;&#1514;%20&#1511;&#1502;&#1492;%20&#1493;&#1492;&#1513;&#1500;&#1502;&#1493;&#1514;%2019.2.26.docx" TargetMode="External"/><Relationship Id="rId128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3&#1508;&#1511;&#1493;&#1491;&#1492;%20&#1488;&#1497;&#1502;&#1493;&#1503;%20&#1492;&#1490;&#1504;&#1513;%20%20&#1499;&#1512;&#1502;&#1497;&#1514;%20&#1493;&#1499;&#1512;&#1502;&#1497;&#1501;%2015.3.26.docx" TargetMode="External"/><Relationship Id="rId149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4&#1505;&#1497;&#1499;&#1493;&#1501;%20&#1502;&#1496;&#1493;&#1493;&#1495;%20&#1495;&#1510;&#1497;&#1493;&#1503;%20&#1488;%20&#1500;&#1492;&#1489;%20&#1493;&#1513;&#1493;&#1502;&#1512;&#1497;&#1492;%2020.3.26.docx" TargetMode="External"/><Relationship Id="rId5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3&#1508;&#1511;&#1493;&#1491;&#1492;%20&#1488;&#1497;&#1502;&#1493;&#1503;%20&#1492;&#1490;&#1504;&#1513;%20&#1513;&#1500;&#1493;&#1493;&#1492;%20&#1488;&#1497;&#1514;&#1503;%20&#1493;&#1506;&#1493;&#1494;&#1492;%2011.1.26.docx" TargetMode="External"/><Relationship Id="rId95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4&#1505;&#1497;&#1499;&#1493;&#1501;%20&#1502;&#1496;&#1493;&#1493;&#1495;%20&#1495;&#1510;&#1497;&#1493;&#1503;%20&#1488;%20&#1499;&#1499;%20&#1514;&#1500;&#1502;&#1497;&#1501;%20&#1493;&#1492;&#1513;&#1500;&#1502;&#1493;&#1514;%204.2.26.docx" TargetMode="External"/><Relationship Id="rId160" Type="http://schemas.openxmlformats.org/officeDocument/2006/relationships/hyperlink" Target="file:///C:/Users/u322462300/AppData/Local/Microsoft/Windows/Temporary%20Internet%20Files/Content.Outlook/NL0W8GMU/2&#1512;&#1502;&#1514;%20&#1504;&#1490;&#1489;/&#1488;&#1497;&#1502;&#1493;&#1503;%20&#1492;&#1490;&#1504;&#1513;/2&#1505;&#1497;&#1499;&#1493;&#1501;%20&#1488;&#1497;&#1502;&#1493;&#1503;%20&#1492;&#1490;&#1504;&#1513;%20&#1496;&#1500;&#1500;&#1497;&#1501;,%20&#1502;.&#1489;.&#1490;%20&#1493;&#1502;&#1513;&#1488;&#1489;&#1497;%20&#1513;&#1491;&#1492;%2025.3.26.docx" TargetMode="External"/><Relationship Id="rId22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&#1508;&#1511;&#1493;&#1491;&#1492;%20&#1502;&#1496;&#1493;&#1493;&#1495;%20&#1495;&#1510;&#1497;&#1493;&#1503;%20&#1490;&#1497;&#1488;&#1492;%20&#1493;&#1502;&#1489;&#1511;&#1497;&#1506;&#1497;&#1501;%2014.1.26.docx" TargetMode="External"/><Relationship Id="rId43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8&#1505;&#1497;&#1499;&#1493;&#1501;%20&#1502;&#1496;&#1493;&#1493;&#1495;%20&#1495;&#1510;&#1497;&#1493;&#1503;%20&#1488;%20&#1494;&#1489;&#1491;&#1497;&#1488;&#1500;%20&#1493;&#1512;&#1493;&#1493;&#1495;&#1492;%20%2027.1.26.docx" TargetMode="External"/><Relationship Id="rId64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0&#1505;&#1497;&#1499;&#1493;&#1501;%20&#1502;&#1496;&#1493;&#1493;&#1495;%20&#1495;&#1510;&#1497;&#1493;&#1503;%20&#1488;%20&#1502;&#1513;&#1506;&#1503;,%20&#1505;&#1497;&#1500;&#1489;&#1512;%20&#1493;&#1492;&#1513;&#1500;&#1502;&#1493;&#1514;%209.2.26.docx" TargetMode="External"/><Relationship Id="rId118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&#1508;&#1511;&#1493;&#1491;&#1492;%20&#1502;&#1496;&#1493;&#1493;&#1495;%20&#1495;&#1510;&#1497;&#1493;&#1503;%20&#1499;&#1493;&#1499;&#1489;%20&#1502;&#1497;&#1499;&#1488;&#1500;%2013.3.26.docx" TargetMode="External"/><Relationship Id="rId139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5&#1508;&#1511;&#1493;&#1491;&#1492;%20&#1488;&#1497;&#1502;&#1493;&#1503;%20&#1492;&#1490;&#1504;&#1513;%20%20&#1492;&#1512;%20&#1506;&#1502;&#1513;&#1488;%20&#1493;&#1502;&#1495;&#1504;&#1492;%20&#1497;&#1514;&#1497;&#1512;%2018.3.26.docx" TargetMode="External"/><Relationship Id="rId85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6&#1505;&#1497;&#1499;&#1493;&#1501;%20&#1488;&#1497;&#1502;&#1493;&#1503;%20&#1492;&#1490;&#1504;&#1513;%20&#1495;&#1510;&#1512;&#1497;&#1501;%20&#1493;&#1504;&#1489;&#1496;&#1497;&#1501;%2018.2.26.docx" TargetMode="External"/><Relationship Id="rId150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4&#1505;&#1497;&#1499;&#1493;&#1501;%20&#1502;&#1496;&#1493;&#1493;&#1495;%20&#1495;&#1510;&#1497;&#1493;&#1503;%20&#1488;%20&#1500;&#1492;&#1489;%20&#1493;&#1513;&#1493;&#1502;&#1512;&#1497;&#1492;%2020.3.26.docx" TargetMode="External"/><Relationship Id="rId12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5&#1508;&#1511;&#1493;&#1491;&#1492;%20&#1488;&#1497;&#1502;&#1493;&#1503;%20&#1492;&#1490;&#1504;&#1513;%20&#1490;&#1500;&#1488;&#1493;&#1503;%202.2.26.docx" TargetMode="External"/><Relationship Id="rId17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&#1508;&#1511;&#1493;&#1491;&#1492;%20&#1488;&#1497;&#1502;&#1493;&#1503;%20&#1492;&#1490;&#1504;&#1513;%20&#1504;&#1495;&#1500;&#1492;,%20&#1505;&#1490;&#1493;&#1500;&#1492;,%20&#1511;&#1491;&#1502;&#1492;%20&#1493;&#1493;&#1512;&#1491;&#1493;&#1503;%2014.1.26.docx" TargetMode="External"/><Relationship Id="rId33" Type="http://schemas.openxmlformats.org/officeDocument/2006/relationships/hyperlink" Target="file:///C:/Users/u322462300/AppData/Local/Microsoft/Windows/Temporary%20Internet%20Files/Content.Outlook/NL0W8GMU/10&#1495;&#1489;&#1500;%20&#1497;&#1489;&#1504;&#1492;/&#1502;&#1496;&#1493;&#1493;&#1495;%20&#1495;&#1510;&#1497;&#1493;&#1503;%20&#1488;/2&#1505;&#1497;&#1499;&#1493;&#1501;%20&#1502;&#1496;&#1493;&#1493;&#1495;%20&#1495;&#1510;&#1497;&#1493;&#1503;%20&#1488;%20&#1504;&#1497;&#1512;%20&#1490;&#1500;&#1497;&#1501;,%20&#1499;&#1512;&#1501;%20&#1489;&#1497;&#1489;&#1504;&#1492;,%20&#1489;&#1497;&#1514;%20&#1512;&#1489;&#1503;,%20&#1489;&#1503;%20&#1494;&#1499;&#1488;&#1497;,%20&#1511;&#1489;&#1493;&#1510;&#1514;%20&#1497;&#1489;&#1504;&#1492;,%20&#1489;&#1497;&#1514;%20&#1490;&#1502;&#1500;&#1497;&#1488;&#1500;,%20&#1504;&#1497;&#1512;%20&#1490;&#1500;&#1497;&#1501;%207.1.25.docx" TargetMode="External"/><Relationship Id="rId38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&#1508;&#1511;&#1493;&#1491;&#1492;%20&#1488;&#1497;&#1502;&#1493;&#1503;%20&#1492;&#1490;&#1504;&#1513;%20&#1489;&#1497;&#1514;%20&#1511;&#1502;&#1492;%20&#1493;&#1513;&#1493;&#1489;&#1500;%204.2.26.docx" TargetMode="External"/><Relationship Id="rId59" Type="http://schemas.openxmlformats.org/officeDocument/2006/relationships/hyperlink" Target="file://///prfs1/u031202443/my%20documents/7&#1495;&#1493;&#1507;%20&#1488;&#1513;&#1511;&#1500;&#1493;&#1503;/&#1488;&#1497;&#1502;&#1493;&#1503;%20&#1492;&#1490;&#1504;&#1513;/2&#1505;&#1497;&#1499;&#1493;&#1501;%20&#1488;&#1497;&#1502;&#1493;&#1503;%20&#1492;&#1490;&#1504;&#1513;%20&#1499;&#1493;&#1499;&#1489;%20&#1502;&#1497;&#1499;&#1488;&#1500;%206.2.26.docx" TargetMode="External"/><Relationship Id="rId103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0&#1505;&#1497;&#1499;&#1493;&#1501;%20&#1488;&#1497;&#1502;&#1493;&#1503;%20&#1492;&#1490;&#1504;&#1513;%20%20&#1500;&#1492;&#1489;%20&#1493;&#1492;&#1513;&#1500;&#1502;&#1493;&#1514;%204.3.26.docx" TargetMode="External"/><Relationship Id="rId108" Type="http://schemas.openxmlformats.org/officeDocument/2006/relationships/hyperlink" Target="file:///C:/Users/u322462300/AppData/Local/Microsoft/Windows/Temporary%20Internet%20Files/Content.Outlook/NL0W8GMU/11&#1489;&#1488;&#1512;%20&#1496;&#1493;&#1489;&#1497;&#1492;/&#1488;&#1497;&#1502;&#1493;&#1503;%20&#1492;&#1490;&#1504;&#1513;/4&#1505;&#1497;&#1499;&#1493;&#1501;%20&#1488;&#1497;&#1502;&#1493;&#1503;%20&#1492;&#1490;&#1504;&#1513;%20&#1488;&#1493;&#1512;&#1493;&#1514;%20&#1493;&#1492;&#1513;&#1500;&#1502;&#1493;&#1514;%20%2016.2.26.docx" TargetMode="External"/><Relationship Id="rId124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0&#1505;&#1497;&#1499;&#1493;&#1501;%20&#1502;&#1496;&#1493;&#1493;&#1495;%20&#1495;&#1510;&#1497;&#1493;&#1503;%20&#1488;%20&#1502;&#1493;&#1506;&#1510;&#1514;&#1497;&#1514;%20&#1489;&#1504;&#1497;%20&#1513;&#1502;&#1506;&#1493;&#1503;%20&#1493;&#1492;&#1513;&#1500;&#1502;&#1493;&#1514;%2012.3.26.docx" TargetMode="External"/><Relationship Id="rId129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1&#1508;&#1511;&#1493;&#1491;&#1492;%20&#1502;&#1496;&#1493;&#1493;&#1495;%20&#1495;&#1510;&#1497;&#1493;&#1503;%20&#1488;%20&#1497;&#1497;&#1513;&#1493;&#1489;&#1497;%20&#1497;&#1495;&#1491;&#1497;&#1493;%20&#1493;&#1492;&#1513;&#1500;&#1502;&#1493;&#1514;%2020.3.26.docx" TargetMode="External"/><Relationship Id="rId54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6&#1505;&#1497;&#1499;&#1493;&#1501;%20&#1488;&#1497;&#1502;&#1493;&#1503;%20&#1492;&#1490;&#1504;&#1513;%20&#1490;&#1500;&#1488;&#1493;&#1503;%202.2.26.docx" TargetMode="External"/><Relationship Id="rId70" Type="http://schemas.openxmlformats.org/officeDocument/2006/relationships/hyperlink" Target="file://///prfs1/u031202443/my%20documents/11&#1489;&#1488;&#1512;%20&#1496;&#1493;&#1489;&#1497;&#1492;/&#1488;&#1497;&#1502;&#1493;&#1503;%20&#1492;&#1490;&#1504;&#1513;/2&#1505;&#1497;&#1499;&#1493;&#1501;%20&#1488;&#1497;&#1502;&#1493;&#1503;%20&#1492;&#1490;&#1504;&#1513;%20&#1488;&#1502;&#1493;&#1504;&#1497;&#1501;,%20&#1490;&#1489;&#1506;&#1514;&#1497;,%20&#1506;&#1494;&#1512;,&#1493;&#1489;&#1497;&#1514;%20&#1506;&#1494;&#1512;&#1488;%2011.2.26.docx" TargetMode="External"/><Relationship Id="rId75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9&#1508;&#1511;&#1493;&#1491;&#1492;%20&#1502;&#1496;&#1493;&#1493;&#1495;%20&#1495;&#1510;&#1497;&#1493;&#1503;%20&#1488;%20&#1511;&#1493;&#1502;&#1502;&#1497;&#1493;&#1514;,%20&#1513;&#1500;&#1493;&#1493;&#1492;%20&#1493;&#1506;&#1493;&#1494;&#1492;%2025.2.26.docx" TargetMode="External"/><Relationship Id="rId91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10&#1505;&#1497;&#1499;&#1493;&#1501;%20&#1502;&#1496;&#1493;&#1493;&#1495;%20&#1495;&#1510;&#1497;&#1493;&#1503;%20&#1488;%20&#1511;&#1493;&#1502;&#1502;&#1497;&#1493;&#1514;,%20&#1513;&#1500;&#1493;&#1493;&#1492;%20&#1493;&#1506;&#1493;&#1494;&#1492;%2025.2.26.docx" TargetMode="External"/><Relationship Id="rId96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8&#1505;&#1497;&#1499;&#1493;&#1501;%20&#1502;&#1496;&#1493;&#1493;&#1495;%20&#1495;&#1510;&#1497;&#1493;&#1503;%20&#1488;%20&#1499;&#1499;%20&#1497;&#1491;%20&#1504;&#1514;&#1503;,%20&#1513;&#1491;&#1492;%20&#1502;&#1513;&#1492;,%20&#1502;&#1504;&#1493;&#1495;&#1492;%20&#1493;&#1492;&#1513;&#1500;&#1502;&#1493;&#1514;%2026.2.26.docx" TargetMode="External"/><Relationship Id="rId140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6&#1505;&#1497;&#1499;&#1493;&#1501;%20&#1488;&#1497;&#1502;&#1493;&#1503;%20&#1492;&#1490;&#1504;&#1513;%20%20&#1492;&#1512;%20&#1506;&#1502;&#1513;&#1488;%20&#1493;&#1502;&#1495;&#1504;&#1492;%20&#1497;&#1514;&#1497;&#1512;%2018.3.26.docx" TargetMode="External"/><Relationship Id="rId145" Type="http://schemas.openxmlformats.org/officeDocument/2006/relationships/hyperlink" Target="file:///C:/Users/u322462300/AppData/Local/Microsoft/Windows/Temporary%20Internet%20Files/Content.Outlook/NL0W8GMU/8&#1497;&#1493;&#1488;&#1489;/&#1502;&#1496;&#1493;&#1493;&#1495;%20&#1495;&#1510;&#1497;&#1493;&#1503;%20&#1488;/7&#1508;&#1511;&#1493;&#1491;&#1492;%20&#1502;&#1496;&#1493;&#1493;&#1495;%20&#1495;&#1510;&#1497;&#1493;&#1503;%20&#1488;%20&#1489;&#1497;&#1514;%20&#1504;&#1497;&#1512;,%20&#1490;&#1514;%20&#1493;&#1492;&#1513;&#1500;&#1502;&#1493;&#1514;%2023.3.26.docx" TargetMode="External"/><Relationship Id="rId161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8&#1505;&#1497;&#1499;&#1493;&#1501;%20&#1488;&#1497;&#1502;&#1493;&#1503;%20&#1492;&#1490;&#1504;&#1513;%20&#1489;&#1497;&#1514;%20&#1490;&#1493;&#1489;&#1512;&#1497;&#1503;%2031.3.26.docx" TargetMode="External"/><Relationship Id="rId166" Type="http://schemas.openxmlformats.org/officeDocument/2006/relationships/printerSettings" Target="../printerSettings/printerSettings1.bin"/><Relationship Id="rId1" Type="http://schemas.openxmlformats.org/officeDocument/2006/relationships/hyperlink" Target="file:///C:/Users/u322462300/AppData/Local/Microsoft/Windows/Temporary%20Internet%20Files/Content.Outlook/NL0W8GMU/10&#1495;&#1489;&#1500;%20&#1497;&#1489;&#1504;&#1492;/&#1502;&#1496;&#1493;&#1493;&#1495;%20&#1495;&#1510;&#1497;&#1493;&#1503;%20&#1488;/1&#1508;&#1511;&#1493;&#1491;&#1492;%20&#1502;&#1496;&#1493;&#1493;&#1495;%20&#1495;&#1510;&#1497;&#1493;&#1503;%20&#1488;%20&#1511;&#1489;&#1493;&#1510;&#1514;%20&#1497;&#1489;&#1504;&#1492;,%20&#1499;&#1512;&#1501;%20&#1489;&#1497;&#1489;&#1504;&#1492;,%20&#1493;&#1489;&#1497;&#1514;%20&#1512;&#1489;&#1503;%207.1.25.docx" TargetMode="External"/><Relationship Id="rId6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3&#1508;&#1511;&#1493;&#1491;&#1492;%20&#1488;&#1497;&#1502;&#1493;&#1503;%20&#1492;&#1490;&#1504;&#1513;%20&#1513;&#1500;&#1493;&#1493;&#1492;%20&#1488;&#1497;&#1514;&#1503;%20&#1493;&#1506;&#1493;&#1494;&#1492;%2011.1.26.docx" TargetMode="External"/><Relationship Id="rId23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2&#1505;&#1497;&#1499;&#1493;&#1501;%20&#1502;&#1496;&#1493;&#1493;&#1495;%20&#1495;&#1510;&#1497;&#1493;&#1503;%20&#1490;&#1497;&#1488;&#1492;%20&#1493;&#1502;&#1489;&#1511;&#1497;&#1506;&#1497;&#1501;%2014.1.26.docx" TargetMode="External"/><Relationship Id="rId28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4&#1505;&#1497;&#1499;&#1493;&#1501;%20&#1502;&#1496;&#1493;&#1493;&#1495;%20&#1495;&#1510;&#1497;&#1493;&#1503;%20&#1488;%20&#1489;&#1514;%20&#1492;&#1491;&#1512;%20&#1493;&#1492;&#1513;&#1500;&#1502;&#1493;&#1514;%2019.1.26.docx" TargetMode="External"/><Relationship Id="rId49" Type="http://schemas.openxmlformats.org/officeDocument/2006/relationships/hyperlink" Target="file://///prfs1/u031202443/my%20documents/11&#1489;&#1488;&#1512;%20&#1496;&#1493;&#1489;&#1497;&#1492;/&#1502;&#1496;&#1493;&#1493;&#1495;%20&#1495;&#1510;&#1497;&#1493;&#1503;%20&#1488;/5&#1508;&#1511;&#1493;&#1491;&#1492;%20&#1502;&#1496;&#1493;&#1493;&#1495;%20&#1495;&#1510;&#1497;&#1493;&#1503;%20&#1488;%20&#1504;&#1493;&#1493;&#1492;%20&#1502;&#1489;&#1496;&#1495;%20&#1499;&#1504;&#1493;&#1514;%20&#1493;&#1489;&#1497;&#1510;&#1512;&#1493;&#1503;%2028.1.26.docx" TargetMode="External"/><Relationship Id="rId114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6&#1505;&#1497;&#1499;&#1493;&#1501;%20&#1502;&#1496;&#1493;&#1493;&#1495;%20&#1495;&#1510;&#1497;&#1493;&#1503;%20&#1488;%20&#1499;&#1499;%20&#1504;&#1492;&#1493;&#1512;&#1492;,%20&#1504;&#1490;&#1492;%20&#1493;&#1506;&#1493;&#1510;&#1501;%2016.2.26.docx" TargetMode="External"/><Relationship Id="rId119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9&#1508;&#1511;&#1493;&#1491;&#1492;%20&#1502;&#1496;&#1493;&#1493;&#1495;%20&#1495;&#1510;&#1497;&#1493;&#1503;%20&#1488;%20&#1502;&#1493;&#1506;&#1510;&#1514;&#1497;&#1514;%20&#1489;&#1504;&#1497;%20&#1513;&#1502;&#1506;&#1493;&#1503;%2012.3.26.docx" TargetMode="External"/><Relationship Id="rId44" Type="http://schemas.openxmlformats.org/officeDocument/2006/relationships/hyperlink" Target="file:///C:/Users/u322462300/AppData/Local/Microsoft/Windows/Temporary%20Internet%20Files/Content.Outlook/NL0W8GMU/10&#1495;&#1489;&#1500;%20&#1497;&#1489;&#1504;&#1492;/&#1502;&#1496;&#1493;&#1493;&#1495;%20&#1495;&#1510;&#1497;&#1493;&#1503;%20&#1488;/5&#1508;&#1511;&#1493;&#1491;&#1492;%20&#1502;&#1496;&#1493;&#1493;&#1495;%20&#1495;&#1510;&#1497;&#1493;&#1503;%20&#1488;%20&#1504;&#1497;&#1512;%20&#1490;&#1500;&#1497;&#1501;,%20&#1489;&#1504;&#1497;%20&#1491;&#1512;&#1493;&#1501;%20&#1493;&#1492;&#1513;&#1500;&#1502;&#1493;&#1514;%203.2.26.docx" TargetMode="External"/><Relationship Id="rId60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9&#1508;&#1511;&#1493;&#1491;&#1492;%20&#1502;&#1496;&#1493;&#1493;&#1495;%20&#1495;&#1510;&#1497;&#1493;&#1503;%20&#1488;%20&#1502;&#1513;&#1506;&#1503;,%20&#1505;&#1497;&#1500;&#1489;&#1512;%20&#1493;&#1492;&#1513;&#1500;&#1502;&#1493;&#1514;%209.2.26.docx" TargetMode="External"/><Relationship Id="rId65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0&#1505;&#1497;&#1499;&#1493;&#1501;%20&#1502;&#1496;&#1493;&#1493;&#1495;%20&#1495;&#1510;&#1497;&#1493;&#1503;%20&#1488;%20&#1502;&#1513;&#1506;&#1503;,%20&#1505;&#1497;&#1500;&#1489;&#1512;%20&#1493;&#1492;&#1513;&#1500;&#1502;&#1493;&#1514;%209.2.26.docx" TargetMode="External"/><Relationship Id="rId81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10&#1505;&#1497;&#1499;&#1493;&#1501;%20&#1502;&#1496;&#1493;&#1493;&#1495;%20&#1495;&#1510;&#1497;&#1493;&#1503;%20&#1488;%20&#1495;&#1510;&#1489;%20&#1493;&#1492;&#1513;&#1500;&#1502;&#1493;&#1514;%2017.2.26.docx" TargetMode="External"/><Relationship Id="rId86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4&#1505;&#1497;&#1499;&#1493;&#1501;%20&#1488;&#1497;&#1502;&#1493;&#1503;%20&#1492;&#1490;&#1504;&#1513;%20&#1512;&#1489;&#1491;&#1497;&#1501;%2025.2.26.docx" TargetMode="External"/><Relationship Id="rId130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4&#1505;&#1497;&#1499;&#1493;&#1501;%20&#1488;&#1497;&#1502;&#1493;&#1503;%20&#1492;&#1490;&#1504;&#1513;%20%20&#1499;&#1512;&#1502;&#1497;&#1514;%20&#1493;&#1499;&#1512;&#1502;&#1497;&#1501;%2015.3.26.docx" TargetMode="External"/><Relationship Id="rId135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12&#1505;&#1497;&#1499;&#1493;&#1501;%20&#1502;&#1496;&#1493;&#1493;&#1495;%20&#1495;&#1510;&#1497;&#1493;&#1503;%20&#1488;%20&#1504;&#1493;&#1506;&#1501;%20&#1493;&#1488;&#1500;&#1493;&#1502;&#1492;%2018.3.26.docx" TargetMode="External"/><Relationship Id="rId151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7&#1508;&#1511;&#1493;&#1491;&#1492;%20&#1488;&#1497;&#1502;&#1493;&#1503;%20&#1492;&#1490;&#1504;&#1513;%20&#1489;&#1497;&#1514;%20&#1490;&#1493;&#1489;&#1512;&#1497;&#1503;%2031.3.26.docx" TargetMode="External"/><Relationship Id="rId156" Type="http://schemas.openxmlformats.org/officeDocument/2006/relationships/hyperlink" Target="file:///C:/Users/u322462300/AppData/Local/Microsoft/Windows/Temporary%20Internet%20Files/Content.Outlook/NL0W8GMU/2&#1512;&#1502;&#1514;%20&#1504;&#1490;&#1489;/&#1502;&#1496;&#1493;&#1493;&#1495;%20&#1495;&#1510;&#1497;&#1493;&#1503;%20&#1488;/1&#1508;&#1511;&#1493;&#1491;&#1492;%20&#1502;&#1496;&#1493;&#1493;&#1495;%20&#1495;&#1510;&#1497;&#1493;&#1503;%20&#1488;%20&#1502;&#1512;&#1495;&#1489;%20&#1506;&#1501;%20&#1513;&#1491;&#1492;%20&#1489;&#1493;&#1511;&#1512;%20&#1493;&#1502;.&#1489;.&#1490;%2025.3.26.docx" TargetMode="External"/><Relationship Id="rId13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7&#1508;&#1511;&#1493;&#1491;&#1492;%20&#1488;&#1497;&#1502;&#1493;&#1503;%20&#1492;&#1490;&#1504;&#1513;%20&#1489;&#1497;&#1514;%20&#1504;&#1497;&#1512;%2015.2.26.docx" TargetMode="External"/><Relationship Id="rId18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2&#1505;&#1497;&#1499;&#1493;&#1501;%20&#1488;&#1497;&#1502;&#1493;&#1503;%20&#1492;&#1490;&#1504;&#1513;%20&#1504;&#1495;&#1500;&#1492;,%20&#1505;&#1490;&#1493;&#1500;&#1492;,%20&#1511;&#1491;&#1502;&#1492;%20&#1493;&#1493;&#1512;&#1491;&#1493;&#1503;%2014.1.26.docx" TargetMode="External"/><Relationship Id="rId39" Type="http://schemas.openxmlformats.org/officeDocument/2006/relationships/hyperlink" Target="file://///prfs1/u031202443/my%20documents/7&#1495;&#1493;&#1507;%20&#1488;&#1513;&#1511;&#1500;&#1493;&#1503;/&#1502;&#1496;&#1493;&#1493;&#1495;%20&#1495;&#1510;&#1497;&#1493;&#1503;%20&#1488;/8&#1505;&#1497;&#1499;&#1493;&#1501;%20&#1502;&#1496;&#1493;&#1493;&#1495;%20&#1495;&#1510;&#1497;&#1493;&#1503;%20&#1488;%20&#1504;&#1497;&#1510;&#1503;%2026.1.26.docx" TargetMode="External"/><Relationship Id="rId109" Type="http://schemas.openxmlformats.org/officeDocument/2006/relationships/hyperlink" Target="file:///C:/Users/u322462300/AppData/Local/Microsoft/Windows/Temporary%20Internet%20Files/Content.Outlook/NL0W8GMU/11&#1489;&#1488;&#1512;%20&#1496;&#1493;&#1489;&#1497;&#1492;/&#1488;&#1497;&#1502;&#1493;&#1503;%20&#1492;&#1490;&#1504;&#1513;/1&#1508;&#1511;&#1493;&#1491;&#1492;%20&#1488;&#1497;&#1502;&#1493;&#1503;%20&#1492;&#1490;&#1504;&#1513;%20&#1488;&#1502;&#1493;&#1504;&#1497;&#1501;,%20&#1490;&#1489;&#1506;&#1514;&#1497;,%20&#1506;&#1494;&#1512;,%20&#1489;&#1497;&#1514;%20&#1506;&#1494;&#1512;&#1488;%20&#1493;&#1488;&#1493;&#1512;&#1493;&#1514;%2011.2.26.docx" TargetMode="External"/><Relationship Id="rId34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4&#1505;&#1497;&#1499;&#1493;&#1501;%20&#1502;&#1496;&#1493;&#1493;&#1495;%20&#1495;&#1510;&#1497;&#1493;&#1503;%20&#1488;%20&#1513;&#1508;&#1497;&#1512;,%20&#1506;&#1497;&#1503;%20&#1510;&#1493;&#1512;&#1497;&#1501;%20&#1493;&#1494;&#1512;&#1495;&#1497;&#1492;%2021.1.26.docx" TargetMode="External"/><Relationship Id="rId50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2&#1505;&#1497;&#1499;&#1493;&#1501;%20&#1502;&#1496;&#1493;&#1493;&#1495;%20&#1495;&#1510;&#1497;&#1493;&#1503;%20&#1488;%20&#1499;&#1499;%20&#1500;&#1499;&#1497;&#1513;%20&#1493;&#1492;&#1513;&#1500;&#1502;&#1493;&#1514;%2030.1.26.docx" TargetMode="External"/><Relationship Id="rId55" Type="http://schemas.openxmlformats.org/officeDocument/2006/relationships/hyperlink" Target="file:///C:/Users/u322462300/AppData/Local/Microsoft/Windows/Temporary%20Internet%20Files/Content.Outlook/NL0W8GMU/10&#1495;&#1489;&#1500;%20&#1497;&#1489;&#1504;&#1492;/&#1502;&#1496;&#1493;&#1493;&#1495;%20&#1495;&#1510;&#1497;&#1493;&#1503;%20&#1488;/6&#1505;&#1497;&#1499;&#1493;&#1501;%20&#1502;&#1496;&#1493;&#1493;&#1495;%20&#1495;&#1510;&#1497;&#1493;&#1503;%20&#1488;%20&#1504;&#1497;&#1512;%20&#1490;&#1500;&#1497;&#1501;,%20&#1489;&#1504;&#1497;%20&#1491;&#1512;&#1493;&#1501;%20&#1493;&#1492;&#1513;&#1500;&#1502;&#1493;&#1514;%203.2.26.docx" TargetMode="External"/><Relationship Id="rId76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9&#1508;&#1511;&#1493;&#1491;&#1492;%20&#1502;&#1496;&#1493;&#1493;&#1495;%20&#1495;&#1510;&#1497;&#1493;&#1503;%20&#1488;%20&#1511;&#1493;&#1502;&#1502;&#1497;&#1493;&#1514;,%20&#1513;&#1500;&#1493;&#1493;&#1492;%20&#1493;&#1506;&#1493;&#1494;&#1492;%2025.2.26.docx" TargetMode="External"/><Relationship Id="rId97" Type="http://schemas.openxmlformats.org/officeDocument/2006/relationships/hyperlink" Target="file:///C:/Users/u322462300/AppData/Local/Microsoft/Windows/Temporary%20Internet%20Files/Content.Outlook/NL0W8GMU/8&#1497;&#1493;&#1488;&#1489;/&#1502;&#1496;&#1493;&#1493;&#1495;%20&#1495;&#1510;&#1497;&#1493;&#1503;%20&#1488;/1&#1508;&#1511;&#1493;&#1491;&#1492;%20&#1502;&#1496;&#1493;&#1493;&#1495;%20&#1495;&#1510;&#1497;&#1493;&#1503;%20&#1488;%20&#1504;&#1495;&#1500;&#1492;,%20&#1505;&#1490;&#1493;&#1500;&#1492;,%20&#1493;&#1512;&#1491;&#1493;&#1503;%20&#1493;&#1511;&#1491;&#1502;&#1492;%2011.3.26.docx" TargetMode="External"/><Relationship Id="rId104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8&#1505;&#1497;&#1499;&#1493;&#1501;%20&#1502;&#1496;&#1493;&#1493;&#1495;%20&#1495;&#1510;&#1497;&#1493;&#1503;%20&#1488;%20&#1499;&#1512;&#1502;&#1497;&#1514;%20&#1493;&#1499;&#1512;&#1502;&#1497;&#1501;%205.3.26.docx" TargetMode="External"/><Relationship Id="rId120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11&#1508;&#1511;&#1493;&#1491;&#1492;%20&#1502;&#1496;&#1493;&#1493;&#1495;%20&#1495;&#1510;&#1497;&#1493;&#1503;%20&#1488;%20&#1513;&#1514;&#1493;&#1500;&#1497;&#1501;%20&#1493;&#1499;&#1508;&#1512;%20&#1493;&#1512;&#1489;&#1493;&#1512;&#1490;%2015.3.26.docx" TargetMode="External"/><Relationship Id="rId125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11&#1508;&#1511;&#1493;&#1491;&#1492;%20&#1502;&#1496;&#1493;&#1493;&#1495;%20&#1495;&#1510;&#1497;&#1493;&#1503;%20&#1488;%20&#1504;&#1493;&#1506;&#1501;%20&#1493;&#1488;&#1500;&#1493;&#1502;&#1492;%2018.3.26.docx" TargetMode="External"/><Relationship Id="rId141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6&#1505;&#1497;&#1499;&#1493;&#1501;%20&#1488;&#1497;&#1502;&#1493;&#1503;%20&#1492;&#1490;&#1504;&#1513;%20%20&#1492;&#1512;%20&#1506;&#1502;&#1513;&#1488;%20&#1493;&#1502;&#1495;&#1504;&#1492;%20&#1497;&#1514;&#1497;&#1512;%2018.3.26.docx" TargetMode="External"/><Relationship Id="rId146" Type="http://schemas.openxmlformats.org/officeDocument/2006/relationships/hyperlink" Target="file:///C:/Users/u322462300/AppData/Local/Microsoft/Windows/Temporary%20Internet%20Files/Content.Outlook/NL0W8GMU/2&#1512;&#1502;&#1514;%20&#1504;&#1490;&#1489;/&#1488;&#1497;&#1502;&#1493;&#1503;%20&#1492;&#1490;&#1504;&#1513;/1&#1508;&#1511;&#1493;&#1491;&#1492;%20&#1488;&#1497;&#1502;&#1493;&#1503;%20&#1492;&#1490;&#1504;&#1513;%20&#1496;&#1500;&#1500;&#1497;&#1501;,%20&#1502;.&#1489;.&#1490;%20&#1493;&#1502;&#1513;&#1488;&#1489;&#1497;%20&#1513;&#1491;&#1492;%2025.3.26.docx" TargetMode="External"/><Relationship Id="rId167" Type="http://schemas.openxmlformats.org/officeDocument/2006/relationships/vmlDrawing" Target="../drawings/vmlDrawing1.vml"/><Relationship Id="rId7" Type="http://schemas.openxmlformats.org/officeDocument/2006/relationships/hyperlink" Target="file:///C:/Users/u322462300/AppData/Local/Microsoft/Windows/Temporary%20Internet%20Files/Content.Outlook/NL0W8GMU/10&#1495;&#1489;&#1500;%20&#1497;&#1489;&#1504;&#1492;/&#1502;&#1496;&#1493;&#1493;&#1495;%20&#1495;&#1510;&#1497;&#1493;&#1503;%20&#1488;/2&#1505;&#1497;&#1499;&#1493;&#1501;%20&#1502;&#1496;&#1493;&#1493;&#1495;%20&#1495;&#1510;&#1497;&#1493;&#1503;%20&#1488;%20&#1504;&#1497;&#1512;%20&#1490;&#1500;&#1497;&#1501;,%20&#1499;&#1512;&#1501;%20&#1489;&#1497;&#1489;&#1504;&#1492;,%20&#1489;&#1497;&#1514;%20&#1512;&#1489;&#1503;,%20&#1489;&#1503;%20&#1494;&#1499;&#1488;&#1497;,%20&#1511;&#1489;&#1493;&#1510;&#1514;%20&#1497;&#1489;&#1504;&#1492;,%20&#1489;&#1497;&#1514;%20&#1490;&#1502;&#1500;&#1497;&#1488;&#1500;,%20&#1504;&#1497;&#1512;%20&#1490;&#1500;&#1497;&#1501;%207.1.25.docx" TargetMode="External"/><Relationship Id="rId71" Type="http://schemas.openxmlformats.org/officeDocument/2006/relationships/hyperlink" Target="file://///prfs1/u031202443/my%20documents/11&#1489;&#1488;&#1512;%20&#1496;&#1493;&#1489;&#1497;&#1492;/&#1488;&#1497;&#1502;&#1493;&#1503;%20&#1492;&#1490;&#1504;&#1513;/2&#1505;&#1497;&#1499;&#1493;&#1501;%20&#1488;&#1497;&#1502;&#1493;&#1503;%20&#1492;&#1490;&#1504;&#1513;%20&#1488;&#1502;&#1493;&#1504;&#1497;&#1501;,%20&#1490;&#1489;&#1506;&#1514;&#1497;,%20&#1506;&#1494;&#1512;,&#1493;&#1489;&#1497;&#1514;%20&#1506;&#1494;&#1512;&#1488;%2011.2.26.docx" TargetMode="External"/><Relationship Id="rId92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7&#1508;&#1511;&#1493;&#1491;&#1492;%20&#1502;&#1496;&#1493;&#1493;&#1495;%20&#1495;&#1510;&#1497;&#1493;&#1503;%20&#1488;%20&#1499;&#1512;&#1502;&#1497;&#1514;%20&#1493;&#1499;&#1512;&#1502;&#1497;&#1501;%205.3.26.docx" TargetMode="External"/><Relationship Id="rId162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1&#1508;&#1511;&#1493;&#1491;&#1492;%20&#1502;&#1496;&#1493;&#1493;&#1495;%20&#1495;&#1510;&#1497;&#1493;&#1503;%20&#1488;%20&#1504;&#1497;&#1512;%20&#1497;&#1513;&#1512;&#1488;&#1500;,%20&#1504;&#1493;&#1510;&#1504;&#1497;&#1501;%20&#1493;&#1492;&#1513;&#1500;&#1502;&#1493;&#1514;%2029.3.26.docx" TargetMode="External"/><Relationship Id="rId2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1&#1508;&#1511;&#1493;&#1491;&#1492;%20&#1502;&#1496;&#1493;&#1493;&#1495;%20&#1495;&#1510;&#1497;&#1493;&#1503;%20&#1488;%20&#1488;&#1502;&#1493;&#1504;&#1497;&#1501;,%20&#1506;&#1494;&#1512;%20&#1489;&#1497;&#1514;%20&#1506;&#1494;&#1512;&#1488;,%20&#1490;&#1489;&#1506;&#1514;&#1497;%20&#1493;&#1488;&#1493;&#1512;&#1493;&#1514;%2015.1.26.docx" TargetMode="External"/><Relationship Id="rId29" Type="http://schemas.openxmlformats.org/officeDocument/2006/relationships/hyperlink" Target="file:///C:/Users/u322462300/AppData/Local/Microsoft/Windows/Temporary%20Internet%20Files/Content.Outlook/NL0W8GMU/10&#1495;&#1489;&#1500;%20&#1497;&#1489;&#1504;&#1492;/&#1502;&#1496;&#1493;&#1493;&#1495;%20&#1495;&#1510;&#1497;&#1493;&#1503;%20&#1488;/3&#1508;&#1511;&#1493;&#1491;&#1492;%20&#1502;&#1496;&#1493;&#1493;&#1495;%20&#1495;&#1510;&#1497;&#1493;&#1503;%20&#1488;%20&#1489;&#1497;&#1514;%20&#1490;&#1502;&#1500;&#1497;&#1488;&#1500;,%20&#1489;&#1503;%20&#1494;&#1499;&#1488;&#1497;,%20&#1511;.%20&#1497;&#1489;&#1504;&#1492;,%20&#1499;&#1512;&#1501;%20&#1489;&#1497;&#1489;&#1504;&#1492;%20,%20&#1489;&#1497;&#1514;%20&#1512;&#1489;&#1503;%2021.1.26.docx" TargetMode="External"/><Relationship Id="rId24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2&#1505;&#1497;&#1499;&#1493;&#1501;%20&#1502;&#1496;&#1493;&#1493;&#1495;%20&#1495;&#1510;&#1497;&#1493;&#1503;%20&#1490;&#1497;&#1488;&#1492;%20&#1493;&#1502;&#1489;&#1511;&#1497;&#1506;&#1497;&#1501;%2014.1.26.docx" TargetMode="External"/><Relationship Id="rId40" Type="http://schemas.openxmlformats.org/officeDocument/2006/relationships/hyperlink" Target="file://///prfs1/u031202443/my%20documents/7&#1495;&#1493;&#1507;%20&#1488;&#1513;&#1511;&#1500;&#1493;&#1503;/&#1502;&#1496;&#1493;&#1493;&#1495;%20&#1495;&#1510;&#1497;&#1493;&#1503;%20&#1488;/6&#1505;&#1497;&#1499;&#1493;&#1501;%20&#1502;&#1496;&#1493;&#1493;&#1495;%20&#1495;&#1510;&#1497;&#1493;&#1503;%20&#1488;%20&#1489;&#1488;&#1512;%20&#1490;&#1504;&#1497;&#1501;%20&#1493;&#1492;&#1513;&#1500;&#1502;&#1493;&#1514;%2026.1.26.docx" TargetMode="External"/><Relationship Id="rId45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5&#1508;&#1511;&#1493;&#1491;&#1492;%20&#1502;&#1496;&#1493;&#1493;&#1495;%20&#1495;&#1510;&#1497;&#1493;&#1503;%20&#1488;%20&#1504;&#1493;&#1493;&#1492;%20&#1502;&#1489;&#1496;&#1495;%20&#1499;&#1504;&#1493;&#1514;%20&#1493;&#1489;&#1497;&#1510;&#1512;&#1493;&#1503;%2028.1.26.docx" TargetMode="External"/><Relationship Id="rId66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5&#1508;&#1511;&#1493;&#1491;&#1492;%20&#1502;&#1496;&#1493;&#1493;&#1495;%20&#1495;&#1510;&#1497;&#1493;&#1503;%20&#1488;%20&#1499;&#1499;%20&#1504;&#1492;&#1493;&#1512;&#1492;,%20&#1504;&#1490;&#1492;%20&#1493;&#1506;&#1493;&#1510;&#1501;%2016.2.26.docx" TargetMode="External"/><Relationship Id="rId87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7&#1508;&#1511;&#1493;&#1491;&#1492;%20&#1488;&#1497;&#1502;&#1493;&#1503;%20&#1492;&#1490;&#1504;&#1513;%20&#1488;&#1500;&#1493;&#1502;&#1492;,%20&#1512;&#1493;&#1493;&#1495;&#1492;,%20&#1494;&#1489;&#1491;&#1497;&#1488;&#1500;%20&#1493;&#1511;&#1493;&#1502;&#1502;&#1497;&#1493;&#1514;%201.3.26.docx" TargetMode="External"/><Relationship Id="rId110" Type="http://schemas.openxmlformats.org/officeDocument/2006/relationships/hyperlink" Target="file:///C:/Users/u322462300/AppData/Local/Microsoft/Windows/Temporary%20Internet%20Files/Content.Outlook/NL0W8GMU/11&#1489;&#1488;&#1512;%20&#1496;&#1493;&#1489;&#1497;&#1492;/&#1488;&#1497;&#1502;&#1493;&#1503;%20&#1492;&#1490;&#1504;&#1513;/2&#1505;&#1497;&#1499;&#1493;&#1501;%20&#1488;&#1497;&#1502;&#1493;&#1503;%20&#1492;&#1490;&#1504;&#1513;%20&#1488;&#1502;&#1493;&#1504;&#1497;&#1501;,%20&#1490;&#1489;&#1506;&#1514;&#1497;,%20&#1506;&#1494;&#1512;,&#1493;&#1489;&#1497;&#1514;%20&#1506;&#1494;&#1512;&#1488;%2011.2.26.docx" TargetMode="External"/><Relationship Id="rId115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7&#1508;&#1511;&#1493;&#1491;&#1492;%20&#1502;&#1496;&#1493;&#1493;&#1495;%20&#1495;&#1510;&#1497;&#1493;&#1503;%20&#1488;%20&#1499;&#1499;%20&#1497;&#1491;%20&#1504;&#1514;&#1503;,%20&#1513;&#1491;&#1492;%20&#1502;&#1513;&#1492;,%20&#1502;&#1504;&#1493;&#1495;&#1492;%20&#1493;&#1492;&#1513;&#1500;&#1502;&#1493;&#1514;%2026.2.26.docx" TargetMode="External"/><Relationship Id="rId131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4&#1505;&#1497;&#1499;&#1493;&#1501;%20&#1488;&#1497;&#1502;&#1493;&#1503;%20&#1492;&#1490;&#1504;&#1513;%20%20&#1499;&#1512;&#1502;&#1497;&#1514;%20&#1493;&#1499;&#1512;&#1502;&#1497;&#1501;%2015.3.26.docx" TargetMode="External"/><Relationship Id="rId136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12&#1505;&#1497;&#1499;&#1493;&#1501;%20&#1502;&#1496;&#1493;&#1493;&#1495;%20&#1495;&#1510;&#1497;&#1493;&#1503;%20&#1488;%20&#1513;&#1514;&#1493;&#1500;&#1497;&#1501;%20&#1493;&#1499;&#1508;&#1512;%20&#1493;&#1512;&#1489;&#1493;&#1512;&#1490;%2015.3.26.docx" TargetMode="External"/><Relationship Id="rId157" Type="http://schemas.openxmlformats.org/officeDocument/2006/relationships/hyperlink" Target="file:///C:/Users/u322462300/AppData/Local/Microsoft/Windows/Temporary%20Internet%20Files/Content.Outlook/NL0W8GMU/2&#1512;&#1502;&#1514;%20&#1504;&#1490;&#1489;/&#1502;&#1496;&#1493;&#1493;&#1495;%20&#1495;&#1510;&#1497;&#1493;&#1503;%20&#1488;/2&#1505;&#1497;&#1499;&#1493;&#1501;%20&#1502;&#1496;&#1493;&#1493;&#1495;%20&#1495;&#1510;&#1497;&#1493;&#1503;%20&#1488;%20&#1502;&#1512;&#1495;&#1489;%20&#1506;&#1501;%20&#1513;&#1491;&#1492;%20&#1489;&#1493;&#1511;&#1512;%20&#1493;&#1502;.&#1489;.&#1490;%2025.3.26.docx" TargetMode="External"/><Relationship Id="rId61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9&#1508;&#1511;&#1493;&#1491;&#1492;%20&#1502;&#1496;&#1493;&#1493;&#1495;%20&#1495;&#1510;&#1497;&#1493;&#1503;%20&#1488;%20&#1502;&#1513;&#1506;&#1503;,%20&#1505;&#1497;&#1500;&#1489;&#1512;%20&#1493;&#1492;&#1513;&#1500;&#1502;&#1493;&#1514;%209.2.26.docx" TargetMode="External"/><Relationship Id="rId82" Type="http://schemas.openxmlformats.org/officeDocument/2006/relationships/hyperlink" Target="file://///prfs1/u031202443/my%20documents/6&#1500;&#1499;&#1497;&#1513;/&#1488;&#1497;&#1502;&#1493;&#1503;%20&#1492;&#1490;&#1504;&#1513;/1&#1508;&#1511;&#1493;&#1491;&#1492;%20&#1488;&#1497;&#1502;&#1493;&#1503;%20&#1492;&#1490;&#1504;&#1513;%20&#1499;&#1512;&#1502;&#1497;%20&#1511;&#1496;&#1497;&#1507;%201.3.26.docx" TargetMode="External"/><Relationship Id="rId152" Type="http://schemas.openxmlformats.org/officeDocument/2006/relationships/hyperlink" Target="file:///C:/Users/u322462300/AppData/Local/Microsoft/Windows/Temporary%20Internet%20Files/Content.Outlook/NL0W8GMU/2&#1512;&#1502;&#1514;%20&#1504;&#1490;&#1489;/&#1502;&#1496;&#1493;&#1493;&#1495;%20&#1495;&#1510;&#1497;&#1493;&#1503;%20&#1488;/3&#1508;&#1511;&#1493;&#1491;&#1492;%20&#1502;&#1496;&#1493;&#1493;&#1495;%20&#1495;&#1510;&#1497;&#1493;&#1503;%20&#1488;%20&#1496;&#1500;&#1500;&#1497;&#1501;,%20&#1502;.&#1489;.&#1490;%20&#1493;&#1502;&#1513;&#1488;&#1489;&#1497;%20&#1513;&#1491;&#1492;%2025.3.26.docx" TargetMode="External"/><Relationship Id="rId19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&#1508;&#1511;&#1493;&#1491;&#1492;%20&#1488;&#1497;&#1502;&#1493;&#1503;%20&#1492;&#1490;&#1504;&#1513;%20&#1504;&#1495;&#1500;&#1492;,%20&#1505;&#1490;&#1493;&#1500;&#1492;,%20&#1511;&#1491;&#1502;&#1492;%20&#1493;&#1493;&#1512;&#1491;&#1493;&#1503;%2014.1.26.docx" TargetMode="External"/><Relationship Id="rId14" Type="http://schemas.openxmlformats.org/officeDocument/2006/relationships/hyperlink" Target="file://///prfs1/u031202443/my%20documents/8&#1497;&#1493;&#1488;&#1489;/&#1488;&#1497;&#1502;&#1493;&#1503;%20&#1492;&#1490;&#1504;&#1513;/9&#1508;&#1511;&#1493;&#1491;&#1492;%20&#1488;&#1497;&#1502;&#1493;&#1503;%20&#1492;&#1490;&#1504;&#1513;%20&#1499;&#1508;&#1512;%20&#1502;&#1504;&#1495;&#1501;%208.2.26.docx" TargetMode="External"/><Relationship Id="rId30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5&#1508;&#1511;&#1493;&#1491;&#1492;%20&#1502;&#1496;&#1493;&#1493;&#1495;%20&#1495;&#1510;&#1497;&#1493;&#1503;%20&#1488;%20&#1488;&#1489;&#1503;%20&#1513;&#1502;&#1493;&#1488;&#1500;%20&#1493;&#1488;&#1497;&#1514;&#1503;%2027.1.26.docx" TargetMode="External"/><Relationship Id="rId35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6&#1505;&#1497;&#1499;&#1493;&#1501;%20&#1502;&#1496;&#1493;&#1493;&#1495;%20&#1495;&#1510;&#1497;&#1493;&#1503;%20&#1488;%20&#1488;&#1489;&#1503;%20&#1513;&#1502;&#1493;&#1488;&#1500;%20&#1493;&#1488;&#1497;&#1514;&#1503;%2027.1.26.docx" TargetMode="External"/><Relationship Id="rId56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2&#1505;&#1497;&#1499;&#1493;&#1501;%20&#1488;&#1497;&#1502;&#1493;&#1503;%20&#1492;&#1490;&#1504;&#1513;%20&#1489;&#1497;&#1514;%20&#1511;&#1502;&#1492;%20&#1493;&#1513;&#1493;&#1489;&#1500;%204.2.26.docx" TargetMode="External"/><Relationship Id="rId77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5&#1508;&#1511;&#1493;&#1491;&#1492;%20&#1488;&#1497;&#1502;&#1493;&#1503;%20&#1492;&#1490;&#1504;&#1513;%20&#1495;&#1510;&#1512;&#1497;&#1501;%20&#1493;&#1504;&#1489;&#1496;&#1497;&#1501;%2018.2.26.docx" TargetMode="External"/><Relationship Id="rId100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9&#1508;&#1511;&#1493;&#1491;&#1492;%20&#1488;&#1497;&#1502;&#1493;&#1503;%20&#1492;&#1490;&#1504;&#1513;%20%20&#1500;&#1492;&#1489;%20&#1493;&#1492;&#1513;&#1500;&#1502;&#1493;&#1514;%204.3.26.docx" TargetMode="External"/><Relationship Id="rId105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8&#1505;&#1497;&#1499;&#1493;&#1501;%20&#1502;&#1496;&#1493;&#1493;&#1495;%20&#1495;&#1510;&#1497;&#1493;&#1503;%20&#1488;%20&#1499;&#1512;&#1502;&#1497;&#1514;%20&#1493;&#1499;&#1512;&#1502;&#1497;&#1501;%205.3.26.docx" TargetMode="External"/><Relationship Id="rId126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11&#1508;&#1511;&#1493;&#1491;&#1492;%20&#1502;&#1496;&#1493;&#1493;&#1495;%20&#1495;&#1510;&#1497;&#1493;&#1503;%20&#1488;%20&#1504;&#1493;&#1506;&#1501;%20&#1493;&#1488;&#1500;&#1493;&#1502;&#1492;%2018.3.26.docx" TargetMode="External"/><Relationship Id="rId147" Type="http://schemas.openxmlformats.org/officeDocument/2006/relationships/hyperlink" Target="file:///C:/Users/u322462300/AppData/Local/Microsoft/Windows/Temporary%20Internet%20Files/Content.Outlook/NL0W8GMU/2&#1512;&#1502;&#1514;%20&#1504;&#1490;&#1489;/&#1488;&#1497;&#1502;&#1493;&#1503;%20&#1492;&#1490;&#1504;&#1513;/1&#1508;&#1511;&#1493;&#1491;&#1492;%20&#1488;&#1497;&#1502;&#1493;&#1503;%20&#1492;&#1490;&#1504;&#1513;%20&#1496;&#1500;&#1500;&#1497;&#1501;,%20&#1502;.&#1489;.&#1490;%20&#1493;&#1502;&#1513;&#1488;&#1489;&#1497;%20&#1513;&#1491;&#1492;%2025.3.26.docx" TargetMode="External"/><Relationship Id="rId168" Type="http://schemas.openxmlformats.org/officeDocument/2006/relationships/comments" Target="../comments1.xml"/><Relationship Id="rId8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4&#1505;&#1497;&#1499;&#1493;&#1501;%20&#1488;&#1497;&#1502;&#1493;&#1503;%20&#1492;&#1490;&#1504;&#1513;%20&#1513;&#1500;&#1493;&#1493;&#1492;%20&#1488;&#1497;&#1514;&#1503;%20&#1493;&#1506;&#1493;&#1494;&#1492;%2011.1.26.docx" TargetMode="External"/><Relationship Id="rId51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7&#1508;&#1511;&#1493;&#1491;&#1492;%20&#1502;&#1496;&#1493;&#1493;&#1495;%20&#1495;&#1510;&#1497;&#1493;&#1503;%20&#1488;%20&#1495;&#1510;&#1493;&#1512;%20&#1493;&#1492;&#1513;&#1500;&#1502;&#1493;&#1514;%202.2.26.docx" TargetMode="External"/><Relationship Id="rId72" Type="http://schemas.openxmlformats.org/officeDocument/2006/relationships/hyperlink" Target="file:///C:/Users/u322462300/AppData/Local/Microsoft/Windows/Temporary%20Internet%20Files/Content.Outlook/NL0W8GMU/11&#1489;&#1488;&#1512;%20&#1496;&#1493;&#1489;&#1497;&#1492;/&#1488;&#1497;&#1502;&#1493;&#1503;%20&#1492;&#1490;&#1504;&#1513;/3&#1508;&#1511;&#1493;&#1491;&#1492;%20&#1488;&#1497;&#1502;&#1493;&#1503;%20&#1492;&#1490;&#1504;&#1513;%20&#1488;&#1493;&#1512;&#1493;&#1514;%20&#1493;&#1492;&#1513;&#1500;&#1502;&#1493;&#1514;%20%2016.2.26.docx" TargetMode="External"/><Relationship Id="rId93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7&#1508;&#1511;&#1493;&#1491;&#1492;%20&#1502;&#1496;&#1493;&#1493;&#1495;%20&#1495;&#1510;&#1497;&#1493;&#1503;%20&#1488;%20&#1499;&#1512;&#1502;&#1497;&#1514;%20&#1493;&#1499;&#1512;&#1502;&#1497;&#1501;%205.3.26.docx" TargetMode="External"/><Relationship Id="rId98" Type="http://schemas.openxmlformats.org/officeDocument/2006/relationships/hyperlink" Target="file:///C:/Users/u322462300/AppData/Local/Microsoft/Windows/Temporary%20Internet%20Files/Content.Outlook/NL0W8GMU/8&#1497;&#1493;&#1488;&#1489;/&#1502;&#1496;&#1493;&#1493;&#1495;%20&#1495;&#1510;&#1497;&#1493;&#1503;%20&#1488;/1&#1508;&#1511;&#1493;&#1491;&#1492;%20&#1502;&#1496;&#1493;&#1493;&#1495;%20&#1495;&#1510;&#1497;&#1493;&#1503;%20&#1488;%20&#1504;&#1495;&#1500;&#1492;,%20&#1505;&#1490;&#1493;&#1500;&#1492;,%20&#1493;&#1512;&#1491;&#1493;&#1503;%20&#1493;&#1511;&#1491;&#1502;&#1492;%2011.3.26.docx" TargetMode="External"/><Relationship Id="rId121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11&#1508;&#1511;&#1493;&#1491;&#1492;%20&#1502;&#1496;&#1493;&#1493;&#1495;%20&#1495;&#1510;&#1497;&#1493;&#1503;%20&#1488;%20&#1513;&#1514;&#1493;&#1500;&#1497;&#1501;%20&#1493;&#1499;&#1508;&#1512;%20&#1493;&#1512;&#1489;&#1493;&#1512;&#1490;%2015.3.26.docx" TargetMode="External"/><Relationship Id="rId142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2&#1505;&#1497;&#1499;&#1493;&#1501;%20&#1502;&#1496;&#1493;&#1493;&#1495;%20&#1495;&#1510;&#1497;&#1493;&#1503;%20&#1488;%20&#1497;&#1497;&#1513;&#1493;&#1489;&#1497;%20&#1497;&#1495;&#1491;&#1497;&#1493;%20&#1493;&#1492;&#1513;&#1500;&#1502;&#1493;&#1514;%2020.3.26.docx" TargetMode="External"/><Relationship Id="rId163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1&#1508;&#1511;&#1493;&#1491;&#1492;%20&#1502;&#1496;&#1493;&#1493;&#1495;%20&#1495;&#1510;&#1497;&#1493;&#1503;%20&#1488;%20&#1504;&#1497;&#1512;%20&#1497;&#1513;&#1512;&#1488;&#1500;,%20&#1504;&#1493;&#1510;&#1504;&#1497;&#1501;%20&#1493;&#1492;&#1513;&#1500;&#1502;&#1493;&#1514;%2029.3.26.docx" TargetMode="External"/><Relationship Id="rId3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1&#1508;&#1511;&#1493;&#1491;&#1492;%20&#1488;&#1497;&#1502;&#1493;&#1503;%20&#1492;&#1490;&#1504;&#1513;%20&#1502;&#1493;&#1506;&#1510;&#1514;&#1497;&#1514;%20&#1513;&#1508;&#1497;&#1512;%20&#1493;&#1488;&#1489;&#1503;%20&#1513;&#1502;&#1493;&#1488;&#1500;%206.1.26.docx" TargetMode="External"/><Relationship Id="rId25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3&#1508;&#1511;&#1493;&#1491;&#1492;%20&#1502;&#1496;&#1493;&#1493;&#1495;%20&#1495;&#1510;&#1497;&#1493;&#1503;%20&#1488;%20&#1489;&#1514;%20&#1492;&#1491;&#1512;%20&#1493;&#1492;&#1513;&#1500;&#1502;&#1493;&#1514;%2019.1.26.docx" TargetMode="External"/><Relationship Id="rId46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4&#1505;&#1497;&#1499;&#1493;&#1501;%20&#1502;&#1496;&#1493;&#1493;&#1495;%20&#1495;&#1510;&#1497;&#1493;&#1503;%20&#1488;%20&#1489;&#1488;&#1512;%20&#1496;&#1493;&#1489;&#1497;&#1492;%2019.1.25.docx" TargetMode="External"/><Relationship Id="rId67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3&#1508;&#1511;&#1493;&#1491;&#1492;%20&#1502;&#1496;&#1493;&#1493;&#1495;%20&#1495;&#1510;&#1497;&#1493;&#1503;%20&#1488;%20&#1491;&#1489;&#1497;&#1512;,%20&#1502;&#1513;&#1502;&#1512;%20&#1492;&#1504;&#1490;&#1489;,%20&#1490;&#1489;&#1506;&#1493;&#1514;%20&#1489;&#1512;%20&#1493;&#1492;&#1513;&#1500;&#1502;&#1493;&#1514;%2012.2.26.docx" TargetMode="External"/><Relationship Id="rId116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1&#1508;&#1511;&#1493;&#1491;&#1492;%20&#1488;&#1497;&#1502;&#1493;&#1503;%20&#1492;&#1490;&#1504;&#1513;%20%20&#1513;&#1493;&#1502;&#1512;&#1497;&#1492;%2011.3.26.docx" TargetMode="External"/><Relationship Id="rId137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12&#1505;&#1497;&#1499;&#1493;&#1501;%20&#1502;&#1496;&#1493;&#1493;&#1495;%20&#1495;&#1510;&#1497;&#1493;&#1503;%20&#1488;%20&#1513;&#1514;&#1493;&#1500;&#1497;&#1501;%20&#1493;&#1499;&#1508;&#1512;%20&#1493;&#1512;&#1489;&#1493;&#1512;&#1490;%2015.3.26.docx" TargetMode="External"/><Relationship Id="rId158" Type="http://schemas.openxmlformats.org/officeDocument/2006/relationships/hyperlink" Target="file:///C:/Users/u322462300/AppData/Local/Microsoft/Windows/Temporary%20Internet%20Files/Content.Outlook/NL0W8GMU/2&#1512;&#1502;&#1514;%20&#1504;&#1490;&#1489;/&#1502;&#1496;&#1493;&#1493;&#1495;%20&#1495;&#1510;&#1497;&#1493;&#1503;%20&#1488;/2&#1505;&#1497;&#1499;&#1493;&#1501;%20&#1502;&#1496;&#1493;&#1493;&#1495;%20&#1495;&#1510;&#1497;&#1493;&#1503;%20&#1488;%20&#1502;&#1512;&#1495;&#1489;%20&#1506;&#1501;%20&#1513;&#1491;&#1492;%20&#1489;&#1493;&#1511;&#1512;%20&#1493;&#1502;.&#1489;.&#1490;%2025.3.26.docx" TargetMode="External"/><Relationship Id="rId20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2&#1505;&#1497;&#1499;&#1493;&#1501;%20&#1488;&#1497;&#1502;&#1493;&#1503;%20&#1492;&#1490;&#1504;&#1513;%20&#1504;&#1495;&#1500;&#1492;,%20&#1505;&#1490;&#1493;&#1500;&#1492;,%20&#1511;&#1491;&#1502;&#1492;%20&#1493;&#1493;&#1512;&#1491;&#1493;&#1503;%2014.1.26.docx" TargetMode="External"/><Relationship Id="rId41" Type="http://schemas.openxmlformats.org/officeDocument/2006/relationships/hyperlink" Target="file:///C:/Users/u322462300/AppData/Local/Microsoft/Windows/Temporary%20Internet%20Files/Content.Outlook/NL0W8GMU/6&#1500;&#1499;&#1497;&#1513;/&#1502;&#1496;&#1493;&#1493;&#1495;%20&#1495;&#1510;&#1497;&#1493;&#1503;%20&#1488;/1&#1508;&#1511;&#1493;&#1491;&#1492;%20&#1502;&#1496;&#1493;&#1493;&#1495;%20&#1495;&#1510;&#1497;&#1493;&#1503;%20&#1488;%20&#1499;&#1499;%20&#1500;&#1499;&#1497;&#1513;%20&#1493;&#1492;&#1513;&#1500;&#1502;&#1493;&#1514;%2030.1.26.docx" TargetMode="External"/><Relationship Id="rId62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2&#1505;&#1497;&#1499;&#1493;&#1501;%20&#1502;&#1496;&#1493;&#1493;&#1495;%20&#1495;&#1510;&#1497;&#1493;&#1503;%20&#1488;%20&#1495;&#1510;&#1512;&#1497;&#1501;%20&#1493;&#1504;&#1489;&#1496;&#1497;&#1501;%205.2.26.docx" TargetMode="External"/><Relationship Id="rId83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6&#1505;&#1497;&#1499;&#1493;&#1501;%20&#1502;&#1496;&#1493;&#1493;&#1495;%20&#1495;&#1510;&#1497;&#1493;&#1503;%20&#1488;%20&#1489;&#1497;&#1514;%20&#1511;&#1502;&#1492;,%20&#1513;&#1493;&#1489;&#1500;%20&#1493;&#1492;&#1513;&#1500;&#1502;&#1493;&#1514;%2019.2.26.docx" TargetMode="External"/><Relationship Id="rId88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7&#1508;&#1511;&#1493;&#1491;&#1492;%20&#1488;&#1497;&#1502;&#1493;&#1503;%20&#1492;&#1490;&#1504;&#1513;%20&#1490;&#1489;&#1506;&#1493;&#1514;%20&#1489;&#1512;%20&#1493;&#1492;&#1513;&#1500;&#1502;&#1493;&#1514;%2025.2.26.docx" TargetMode="External"/><Relationship Id="rId111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5&#1508;&#1511;&#1493;&#1491;&#1492;%20&#1502;&#1496;&#1493;&#1493;&#1495;%20&#1495;&#1510;&#1497;&#1493;&#1503;%20&#1488;%20&#1504;&#1493;&#1493;&#1492;%20&#1502;&#1489;&#1496;&#1495;%20&#1499;&#1504;&#1493;&#1514;%20&#1493;&#1489;&#1497;&#1510;&#1512;&#1493;&#1503;%2028.1.26.docx" TargetMode="External"/><Relationship Id="rId132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3&#1508;&#1511;&#1493;&#1491;&#1492;%20&#1502;&#1496;&#1493;&#1493;&#1495;%20&#1495;&#1510;&#1497;&#1493;&#1503;%20&#1488;%20&#1500;&#1492;&#1489;%20&#1493;&#1513;&#1493;&#1502;&#1512;&#1497;&#1492;%2020.3.26.docx" TargetMode="External"/><Relationship Id="rId153" Type="http://schemas.openxmlformats.org/officeDocument/2006/relationships/hyperlink" Target="file:///C:/Users/u322462300/AppData/Local/Microsoft/Windows/Temporary%20Internet%20Files/Content.Outlook/NL0W8GMU/2&#1512;&#1502;&#1514;%20&#1504;&#1490;&#1489;/&#1502;&#1496;&#1493;&#1493;&#1495;%20&#1495;&#1510;&#1497;&#1493;&#1503;%20&#1488;/3&#1508;&#1511;&#1493;&#1491;&#1492;%20&#1502;&#1496;&#1493;&#1493;&#1495;%20&#1495;&#1510;&#1497;&#1493;&#1503;%20&#1488;%20&#1496;&#1500;&#1500;&#1497;&#1501;,%20&#1502;.&#1489;.&#1490;%20&#1493;&#1502;&#1513;&#1488;&#1489;&#1497;%20&#1513;&#1491;&#1492;%2025.3.26.docx" TargetMode="External"/><Relationship Id="rId15" Type="http://schemas.openxmlformats.org/officeDocument/2006/relationships/hyperlink" Target="file://///prfs1/u031202443/my%20documents/8&#1497;&#1493;&#1488;&#1489;/&#1488;&#1497;&#1502;&#1493;&#1503;%20&#1492;&#1490;&#1504;&#1513;/11&#1508;&#1511;&#1493;&#1491;&#1492;%20&#1488;&#1497;&#1502;&#1493;&#1503;%20&#1492;&#1490;&#1504;&#1513;%20&#1499;&#1508;&#1512;%20&#1492;&#1512;&#1497;&#1507;%2010.2.26.docx" TargetMode="External"/><Relationship Id="rId36" Type="http://schemas.openxmlformats.org/officeDocument/2006/relationships/hyperlink" Target="file://///prfs1/u031202443/my%20documents/7&#1495;&#1493;&#1507;%20&#1488;&#1513;&#1511;&#1500;&#1493;&#1503;/&#1502;&#1496;&#1493;&#1493;&#1495;%20&#1495;&#1510;&#1497;&#1493;&#1503;%20&#1488;/7&#1508;&#1511;&#1493;&#1491;&#1492;%20&#1502;&#1496;&#1493;&#1493;&#1495;%20&#1495;&#1510;&#1497;&#1493;&#1503;%20&#1488;%20&#1504;&#1497;&#1510;&#1503;%2026.1.26.docx" TargetMode="External"/><Relationship Id="rId57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8&#1505;&#1497;&#1499;&#1493;&#1501;%20&#1502;&#1496;&#1493;&#1493;&#1495;%20&#1495;&#1510;&#1497;&#1493;&#1503;%20&#1488;%20&#1495;&#1510;&#1493;&#1512;%20&#1493;&#1492;&#1513;&#1500;&#1502;&#1493;&#1514;%202.2.26.docx" TargetMode="External"/><Relationship Id="rId106" Type="http://schemas.openxmlformats.org/officeDocument/2006/relationships/hyperlink" Target="file:///C:/Users/u322462300/AppData/Local/Microsoft/Windows/Temporary%20Internet%20Files/Content.Outlook/NL0W8GMU/8&#1497;&#1493;&#1488;&#1489;/&#1502;&#1496;&#1493;&#1493;&#1495;%20&#1495;&#1510;&#1497;&#1493;&#1503;%20&#1488;/3&#1508;&#1511;&#1493;&#1491;&#1492;%20&#1502;&#1496;&#1493;&#1493;&#1495;%20&#1495;&#1510;&#1497;&#1493;&#1503;%20&#1488;%20&#1489;&#1497;&#1514;%20&#1490;&#1493;&#1489;&#1512;&#1497;&#1503;%206.3.26.docx" TargetMode="External"/><Relationship Id="rId127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3&#1508;&#1511;&#1493;&#1491;&#1492;%20&#1488;&#1497;&#1502;&#1493;&#1503;%20&#1492;&#1490;&#1504;&#1513;%20%20&#1499;&#1512;&#1502;&#1497;&#1514;%20&#1493;&#1499;&#1512;&#1502;&#1497;&#1501;%2015.3.26.docx" TargetMode="External"/><Relationship Id="rId10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3&#1508;&#1511;&#1493;&#1491;&#1492;%20&#1502;&#1496;&#1493;&#1493;&#1495;%20&#1495;&#1510;&#1497;&#1493;&#1503;%20&#1488;%20&#1513;&#1508;&#1497;&#1512;,%20&#1506;&#1497;&#1503;%20&#1510;&#1493;&#1512;&#1497;&#1501;%20&#1493;&#1494;&#1512;&#1495;&#1497;&#1492;%2021.1.26.docx" TargetMode="External"/><Relationship Id="rId31" Type="http://schemas.openxmlformats.org/officeDocument/2006/relationships/hyperlink" Target="file://///prfs1/u031202443/my%20documents/11&#1489;&#1488;&#1512;%20&#1496;&#1493;&#1489;&#1497;&#1492;/&#1502;&#1496;&#1493;&#1493;&#1495;%20&#1495;&#1510;&#1497;&#1493;&#1503;%20&#1488;/7&#1508;&#1511;&#1493;&#1491;&#1492;%20&#1502;&#1496;&#1493;&#1493;&#1495;%20&#1495;&#1510;&#1497;&#1493;&#1503;%20&#1488;%20&#1489;&#1497;&#1510;&#1512;&#1493;&#1503;%2028.1.26.docx" TargetMode="External"/><Relationship Id="rId52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&#1508;&#1511;&#1493;&#1491;&#1492;%20&#1502;&#1496;&#1493;&#1493;&#1495;%20&#1495;&#1510;&#1497;&#1493;&#1503;%20&#1488;%20&#1495;&#1510;&#1512;&#1497;&#1501;%20&#1493;&#1504;&#1489;&#1496;&#1497;&#1501;%205.2.26.docx" TargetMode="External"/><Relationship Id="rId73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9&#1508;&#1511;&#1493;&#1491;&#1492;%20&#1502;&#1496;&#1493;&#1493;&#1495;%20&#1495;&#1510;&#1497;&#1493;&#1503;%20&#1488;%20&#1495;&#1510;&#1489;%20&#1493;&#1492;&#1513;&#1500;&#1502;&#1493;&#1514;%2017.2.26.docx" TargetMode="External"/><Relationship Id="rId78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5&#1508;&#1511;&#1493;&#1491;&#1492;%20&#1502;&#1496;&#1493;&#1493;&#1495;%20&#1495;&#1510;&#1497;&#1493;&#1503;%20&#1488;%20&#1489;&#1497;&#1514;%20&#1511;&#1502;&#1492;,%20&#1513;&#1493;&#1489;&#1500;%20&#1493;&#1492;&#1513;&#1500;&#1502;&#1493;&#1514;%2019.2.26.docx" TargetMode="External"/><Relationship Id="rId94" Type="http://schemas.openxmlformats.org/officeDocument/2006/relationships/hyperlink" Target="file://///prfs1/u031202443/my%20documents/6&#1500;&#1499;&#1497;&#1513;/&#1502;&#1496;&#1493;&#1493;&#1495;%20&#1495;&#1510;&#1497;&#1493;&#1503;%20&#1488;/6&#1505;&#1497;&#1499;&#1493;&#1501;%20&#1502;&#1496;&#1493;&#1493;&#1495;%20&#1495;&#1510;&#1497;&#1493;&#1503;%20&#1488;%20&#1499;&#1499;%20&#1504;&#1492;&#1493;&#1512;&#1492;,%20&#1504;&#1490;&#1492;%20&#1493;&#1506;&#1493;&#1510;&#1501;%2016.2.26.docx" TargetMode="External"/><Relationship Id="rId99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8&#1505;&#1497;&#1499;&#1493;&#1501;%20&#1488;&#1497;&#1502;&#1493;&#1503;%20&#1492;&#1490;&#1504;&#1513;%20&#1488;&#1500;&#1493;&#1502;&#1492;,%20&#1512;&#1493;&#1493;&#1495;&#1492;,%20&#1494;&#1489;&#1491;&#1497;&#1488;&#1500;%20&#1493;&#1511;&#1493;&#1502;&#1502;&#1497;&#1493;&#1514;%201.3.26.docx" TargetMode="External"/><Relationship Id="rId101" Type="http://schemas.openxmlformats.org/officeDocument/2006/relationships/hyperlink" Target="file://///prfs1/u031202443/my%20documents/6&#1500;&#1499;&#1497;&#1513;/&#1502;&#1496;&#1493;&#1493;&#1495;%20&#1495;&#1510;&#1497;&#1493;&#1503;%20&#1488;/6&#1505;&#1497;&#1499;&#1493;&#1501;%20&#1502;&#1496;&#1493;&#1493;&#1495;%20&#1495;&#1510;&#1497;&#1493;&#1503;%20&#1488;%20&#1499;&#1499;%20&#1504;&#1492;&#1493;&#1512;&#1492;,%20&#1504;&#1490;&#1492;%20&#1493;&#1506;&#1493;&#1510;&#1501;%2016.2.26.docx" TargetMode="External"/><Relationship Id="rId122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12&#1505;&#1497;&#1499;&#1493;&#1501;%20&#1488;&#1497;&#1502;&#1493;&#1503;%20&#1492;&#1490;&#1504;&#1513;%20%20&#1513;&#1493;&#1502;&#1512;&#1497;&#1492;%2011.3.26.docx" TargetMode="External"/><Relationship Id="rId143" Type="http://schemas.openxmlformats.org/officeDocument/2006/relationships/hyperlink" Target="file:///C:/Users/u322462300/AppData/Local/Microsoft/Windows/Temporary%20Internet%20Files/Content.Outlook/NL0W8GMU/8&#1497;&#1493;&#1488;&#1489;/&#1502;&#1496;&#1493;&#1493;&#1495;%20&#1495;&#1510;&#1497;&#1493;&#1503;%20&#1488;/5&#1508;&#1511;&#1493;&#1491;&#1492;%20&#1502;&#1496;&#1493;&#1493;&#1495;%20&#1495;&#1510;&#1497;&#1493;&#1503;%20&#1488;%20&#1512;&#1489;&#1491;&#1497;&#1501;%2025.3.26.docx" TargetMode="External"/><Relationship Id="rId148" Type="http://schemas.openxmlformats.org/officeDocument/2006/relationships/hyperlink" Target="file:///C:/Users/u322462300/AppData/Local/Microsoft/Windows/Temporary%20Internet%20Files/Content.Outlook/NL0W8GMU/2&#1512;&#1502;&#1514;%20&#1504;&#1490;&#1489;/&#1488;&#1497;&#1502;&#1493;&#1503;%20&#1492;&#1490;&#1504;&#1513;/3&#1508;&#1511;&#1493;&#1491;&#1492;%20&#1488;&#1497;&#1502;&#1493;&#1503;%20&#1492;&#1490;&#1504;&#1513;%20&#1502;&#1512;&#1495;&#1489;%20&#1506;&#1501;,%20&#1513;&#1491;&#1492;%20&#1489;&#1493;&#1511;&#1512;%20%20&#1493;&#1502;.&#1489;.&#1490;%20%2025.3.26.docx" TargetMode="External"/><Relationship Id="rId164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2&#1505;&#1497;&#1499;&#1493;&#1501;%20&#1502;&#1496;&#1493;&#1493;&#1495;%20&#1495;&#1510;&#1497;&#1493;&#1503;%20&#1488;%20&#1504;&#1497;&#1512;%20&#1497;&#1513;&#1512;&#1488;&#1500;,%20&#1504;&#1497;&#1510;&#1504;&#1497;&#1501;%20&#1493;&#1492;&#1513;&#1500;&#1502;&#1493;&#1514;%2029.3.26.docx" TargetMode="External"/><Relationship Id="rId4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2&#1505;&#1497;&#1499;&#1493;&#1501;%20&#1488;&#1497;&#1502;&#1493;&#1503;%20&#1492;&#1490;&#1504;&#1513;%20&#1488;&#1489;&#1503;%20&#1513;&#1502;&#1493;&#1488;&#1500;%206.1.26.docx" TargetMode="External"/><Relationship Id="rId9" Type="http://schemas.openxmlformats.org/officeDocument/2006/relationships/hyperlink" Target="file:///C:/Users/u322462300/AppData/Local/Microsoft/Windows/Temporary%20Internet%20Files/Content.Outlook/NL0W8GMU/9&#1513;&#1508;&#1497;&#1512;/&#1488;&#1497;&#1502;&#1493;&#1503;%20&#1492;&#1490;&#1504;&#1513;/4&#1505;&#1497;&#1499;&#1493;&#1501;%20&#1488;&#1497;&#1502;&#1493;&#1503;%20&#1492;&#1490;&#1504;&#1513;%20&#1513;&#1500;&#1493;&#1493;&#1492;%20&#1488;&#1497;&#1514;&#1503;%20&#1493;&#1506;&#1493;&#1494;&#1492;%2011.1.26.docx" TargetMode="External"/><Relationship Id="rId26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2&#1505;&#1497;&#1499;&#1493;&#1501;%20&#1502;&#1496;&#1493;&#1493;&#1495;%20&#1495;&#1510;&#1497;&#1493;&#1503;%20&#1488;%20&#1488;&#1502;&#1493;&#1504;&#1497;&#1501;,%20&#1506;&#1494;&#1512;%20&#1489;&#1497;&#1514;%20&#1506;&#1494;&#1512;&#1488;,%20&#1490;&#1489;&#1506;&#1514;&#1497;%20&#1493;&#1488;&#1493;&#1512;&#1493;&#1514;%2015.1.26.docx" TargetMode="External"/><Relationship Id="rId47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6&#1505;&#1497;&#1499;&#1493;&#1501;%20&#1502;&#1496;&#1493;&#1493;&#1495;%20&#1495;&#1510;&#1497;&#1493;&#1503;%20&#1488;%20&#1504;&#1493;&#1493;&#1492;%20&#1502;&#1489;&#1496;&#1495;%20&#1499;&#1504;&#1493;&#1514;%20&#1493;&#1489;&#1497;&#1510;&#1512;&#1493;&#1503;%20%2028.1.26.docx" TargetMode="External"/><Relationship Id="rId68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4&#1505;&#1497;&#1499;&#1493;&#1501;%20&#1488;&#1497;&#1502;&#1493;&#1503;%20&#1492;&#1490;&#1504;&#1513;%20&#1489;&#1512;&#1493;&#1513;,%20&#1514;&#1491;&#1492;&#1512;%20&#1493;&#1514;&#1488;&#1513;&#1493;&#1512;%2011.2.26.docx" TargetMode="External"/><Relationship Id="rId89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8&#1505;&#1497;&#1499;&#1493;&#1501;%20&#1488;&#1497;&#1502;&#1493;&#1503;%20&#1492;&#1490;&#1504;&#1513;%20&#1490;&#1489;&#1506;&#1493;&#1514;%20&#1489;&#1512;%20&#1493;&#1492;&#1513;&#1500;&#1502;&#1493;&#1514;%2025.2.26.docx" TargetMode="External"/><Relationship Id="rId112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5&#1508;&#1511;&#1493;&#1491;&#1492;%20&#1502;&#1496;&#1493;&#1493;&#1495;%20&#1495;&#1510;&#1497;&#1493;&#1503;%20&#1488;%20&#1489;&#1488;&#1512;%20&#1490;&#1504;&#1497;&#1501;%20&#1493;&#1492;&#1513;&#1500;&#1502;&#1493;&#1514;%2026.1.26.docx" TargetMode="External"/><Relationship Id="rId133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13&#1508;&#1511;&#1493;&#1491;&#1492;%20&#1502;&#1496;&#1493;&#1493;&#1495;%20&#1495;&#1510;&#1497;&#1493;&#1503;%20&#1488;%20&#1500;&#1492;&#1489;%20&#1493;&#1513;&#1493;&#1502;&#1512;&#1497;&#1492;%2020.3.26.docx" TargetMode="External"/><Relationship Id="rId154" Type="http://schemas.openxmlformats.org/officeDocument/2006/relationships/hyperlink" Target="file:///C:/Users/u322462300/AppData/Local/Microsoft/Windows/Temporary%20Internet%20Files/Content.Outlook/NL0W8GMU/2&#1512;&#1502;&#1514;%20&#1504;&#1490;&#1489;/&#1502;&#1496;&#1493;&#1493;&#1495;%20&#1495;&#1510;&#1497;&#1493;&#1503;%20&#1488;/1&#1508;&#1511;&#1493;&#1491;&#1492;%20&#1502;&#1496;&#1493;&#1493;&#1495;%20&#1495;&#1510;&#1497;&#1493;&#1503;%20&#1488;%20&#1502;&#1512;&#1495;&#1489;%20&#1506;&#1501;%20&#1513;&#1491;&#1492;%20&#1489;&#1493;&#1511;&#1512;%20&#1493;&#1502;.&#1489;.&#1490;%2025.3.26.docx" TargetMode="External"/><Relationship Id="rId16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3&#1508;&#1511;&#1493;&#1491;&#1492;%20&#1488;&#1497;&#1502;&#1493;&#1503;%20&#1492;&#1490;&#1504;&#1513;%20&#1512;&#1489;&#1491;&#1497;&#1501;%2025.2.26.docx" TargetMode="External"/><Relationship Id="rId37" Type="http://schemas.openxmlformats.org/officeDocument/2006/relationships/hyperlink" Target="file://///prfs1/u031202443/my%20documents/7&#1495;&#1493;&#1507;%20&#1488;&#1513;&#1511;&#1500;&#1493;&#1503;/&#1502;&#1496;&#1493;&#1493;&#1495;%20&#1495;&#1510;&#1497;&#1493;&#1503;%20&#1488;/5&#1508;&#1511;&#1493;&#1491;&#1492;%20&#1502;&#1496;&#1493;&#1493;&#1495;%20&#1495;&#1510;&#1497;&#1493;&#1503;%20&#1488;%20&#1489;&#1488;&#1512;%20&#1490;&#1504;&#1497;&#1501;%20&#1493;&#1492;&#1513;&#1500;&#1502;&#1493;&#1514;%2026.1.26.docx" TargetMode="External"/><Relationship Id="rId58" Type="http://schemas.openxmlformats.org/officeDocument/2006/relationships/hyperlink" Target="file://///prfs1/u031202443/my%20documents/7&#1495;&#1493;&#1507;%20&#1488;&#1513;&#1511;&#1500;&#1493;&#1503;/&#1488;&#1497;&#1502;&#1493;&#1503;%20&#1492;&#1490;&#1504;&#1513;/1&#1508;&#1511;&#1493;&#1491;&#1492;%20&#1488;&#1497;&#1502;&#1493;&#1503;%20&#1492;&#1490;&#1504;&#1513;%20&#1499;&#1493;&#1499;&#1489;%20&#1502;&#1497;&#1499;&#1488;&#1500;%206.2.26.docx" TargetMode="External"/><Relationship Id="rId79" Type="http://schemas.openxmlformats.org/officeDocument/2006/relationships/hyperlink" Target="file:///C:/Users/u322462300/AppData/Local/Microsoft/Windows/Temporary%20Internet%20Files/Content.Outlook/NL0W8GMU/1&#1489;&#1504;&#1497;%20&#1513;&#1502;&#1506;&#1493;&#1503;/&#1502;&#1496;&#1493;&#1493;&#1495;%20&#1495;&#1510;&#1497;&#1493;&#1503;%20&#1488;/4&#1505;&#1497;&#1499;&#1493;&#1501;%20&#1502;&#1496;&#1493;&#1493;&#1495;%20&#1495;&#1510;&#1497;&#1493;&#1503;%20&#1488;%20&#1491;&#1489;&#1497;&#1512;,%20&#1502;&#1513;&#1502;&#1512;%20&#1492;&#1504;&#1490;&#1489;,%20&#1490;&#1489;&#1506;&#1493;&#1514;%20&#1489;&#1512;%20&#1493;&#1492;&#1513;&#1500;&#1502;&#1493;&#1514;%2012.2.26.docx" TargetMode="External"/><Relationship Id="rId102" Type="http://schemas.openxmlformats.org/officeDocument/2006/relationships/hyperlink" Target="file:///C:/Users/u322462300/AppData/Local/Microsoft/Windows/Temporary%20Internet%20Files/Content.Outlook/NL0W8GMU/1&#1489;&#1504;&#1497;%20&#1513;&#1502;&#1506;&#1493;&#1503;/&#1488;&#1497;&#1502;&#1493;&#1503;%20&#1492;&#1490;&#1504;&#1513;/6&#1505;&#1497;&#1499;&#1493;&#1501;%20&#1488;&#1497;&#1502;&#1493;&#1503;%20&#1492;&#1490;&#1504;&#1513;%20&#1495;&#1510;&#1512;&#1497;&#1501;%20&#1493;&#1504;&#1489;&#1496;&#1497;&#1501;%2018.2.26.docx" TargetMode="External"/><Relationship Id="rId123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16&#1505;&#1497;&#1499;&#1493;&#1501;%20&#1488;&#1497;&#1502;&#1493;&#1503;%20&#1492;&#1490;&#1504;&#1513;%20&#1499;&#1508;&#1512;%20&#1502;&#1504;&#1495;&#1501;%2011.3.26.docx" TargetMode="External"/><Relationship Id="rId144" Type="http://schemas.openxmlformats.org/officeDocument/2006/relationships/hyperlink" Target="file:///C:/Users/u322462300/AppData/Local/Microsoft/Windows/Temporary%20Internet%20Files/Content.Outlook/NL0W8GMU/8&#1497;&#1493;&#1488;&#1489;/&#1502;&#1496;&#1493;&#1493;&#1495;%20&#1495;&#1510;&#1497;&#1493;&#1503;%20&#1488;/7&#1508;&#1511;&#1493;&#1491;&#1492;%20&#1502;&#1496;&#1493;&#1493;&#1495;%20&#1495;&#1510;&#1497;&#1493;&#1503;%20&#1488;%20&#1489;&#1497;&#1514;%20&#1504;&#1497;&#1512;,%20&#1490;&#1514;%20&#1493;&#1492;&#1513;&#1500;&#1502;&#1493;&#1514;%2023.3.26.docx" TargetMode="External"/><Relationship Id="rId90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10&#1505;&#1497;&#1499;&#1493;&#1501;%20&#1502;&#1496;&#1493;&#1493;&#1495;%20&#1495;&#1510;&#1497;&#1493;&#1503;%20&#1488;%20&#1511;&#1493;&#1502;&#1502;&#1497;&#1493;&#1514;,%20&#1513;&#1500;&#1493;&#1493;&#1492;%20&#1493;&#1506;&#1493;&#1494;&#1492;%2025.2.26.docx" TargetMode="External"/><Relationship Id="rId165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12&#1505;&#1497;&#1499;&#1493;&#1501;%20&#1502;&#1496;&#1493;&#1493;&#1495;%20&#1495;&#1510;&#1497;&#1493;&#1503;%20&#1488;%20&#1504;&#1497;&#1512;%20&#1497;&#1513;&#1512;&#1488;&#1500;,%20&#1504;&#1497;&#1510;&#1504;&#1497;&#1501;%20&#1493;&#1492;&#1513;&#1500;&#1502;&#1493;&#1514;%2029.3.26.docx" TargetMode="External"/><Relationship Id="rId27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3&#1508;&#1511;&#1493;&#1491;&#1492;%20&#1502;&#1496;&#1493;&#1493;&#1495;%20&#1495;&#1510;&#1497;&#1493;&#1503;%20&#1488;%20&#1489;&#1488;&#1512;%20&#1496;&#1493;&#1489;&#1497;&#1492;%2019.1.25.docx" TargetMode="External"/><Relationship Id="rId48" Type="http://schemas.openxmlformats.org/officeDocument/2006/relationships/hyperlink" Target="file:///C:/Users/u322462300/AppData/Local/Microsoft/Windows/Temporary%20Internet%20Files/Content.Outlook/NL0W8GMU/11&#1489;&#1488;&#1512;%20&#1496;&#1493;&#1489;&#1497;&#1492;/&#1502;&#1496;&#1493;&#1493;&#1495;%20&#1495;&#1510;&#1497;&#1493;&#1503;%20&#1488;/6&#1505;&#1497;&#1499;&#1493;&#1501;%20&#1502;&#1496;&#1493;&#1493;&#1495;%20&#1495;&#1510;&#1497;&#1493;&#1503;%20&#1488;%20&#1504;&#1493;&#1493;&#1492;%20&#1502;&#1489;&#1496;&#1495;%20&#1499;&#1504;&#1493;&#1514;%20&#1493;&#1489;&#1497;&#1510;&#1512;&#1493;&#1503;%20%2028.1.26.docx" TargetMode="External"/><Relationship Id="rId69" Type="http://schemas.openxmlformats.org/officeDocument/2006/relationships/hyperlink" Target="file://///prfs1/u031202443/my%20documents/11&#1489;&#1488;&#1512;%20&#1496;&#1493;&#1489;&#1497;&#1492;/&#1488;&#1497;&#1502;&#1493;&#1503;%20&#1492;&#1490;&#1504;&#1513;/1&#1508;&#1511;&#1493;&#1491;&#1492;%20&#1488;&#1497;&#1502;&#1493;&#1503;%20&#1492;&#1490;&#1504;&#1513;%20&#1488;&#1502;&#1493;&#1504;&#1497;&#1501;,%20&#1490;&#1489;&#1506;&#1514;&#1497;,%20&#1506;&#1494;&#1512;,%20&#1489;&#1497;&#1514;%20&#1506;&#1494;&#1512;&#1488;%20&#1493;&#1488;&#1493;&#1512;&#1493;&#1514;%2011.2.26.docx" TargetMode="External"/><Relationship Id="rId113" Type="http://schemas.openxmlformats.org/officeDocument/2006/relationships/hyperlink" Target="file:///C:/Users/u322462300/AppData/Local/Microsoft/Windows/Temporary%20Internet%20Files/Content.Outlook/NL0W8GMU/7&#1495;&#1493;&#1507;%20&#1488;&#1513;&#1511;&#1500;&#1493;&#1503;/&#1502;&#1496;&#1493;&#1493;&#1495;%20&#1495;&#1510;&#1497;&#1493;&#1503;%20&#1488;/6&#1505;&#1497;&#1499;&#1493;&#1501;%20&#1502;&#1496;&#1493;&#1493;&#1495;%20&#1495;&#1510;&#1497;&#1493;&#1503;%20&#1488;%20&#1489;&#1488;&#1512;%20&#1490;&#1504;&#1497;&#1501;%20&#1493;&#1492;&#1513;&#1500;&#1502;&#1493;&#1514;%2026.1.26.docx" TargetMode="External"/><Relationship Id="rId134" Type="http://schemas.openxmlformats.org/officeDocument/2006/relationships/hyperlink" Target="file:///C:/Users/u322462300/AppData/Local/Microsoft/Windows/Temporary%20Internet%20Files/Content.Outlook/NL0W8GMU/9&#1513;&#1508;&#1497;&#1512;/&#1502;&#1496;&#1493;&#1493;&#1495;%20&#1495;&#1510;&#1497;&#1493;&#1503;%20&#1488;/12&#1505;&#1497;&#1499;&#1493;&#1501;%20&#1502;&#1496;&#1493;&#1493;&#1495;%20&#1495;&#1510;&#1497;&#1493;&#1503;%20&#1488;%20&#1504;&#1493;&#1506;&#1501;%20&#1493;&#1488;&#1500;&#1493;&#1502;&#1492;%2018.3.26.docx" TargetMode="External"/><Relationship Id="rId80" Type="http://schemas.openxmlformats.org/officeDocument/2006/relationships/hyperlink" Target="file:///C:/Users/u322462300/AppData/Local/Microsoft/Windows/Temporary%20Internet%20Files/Content.Outlook/NL0W8GMU/8&#1497;&#1493;&#1488;&#1489;/&#1488;&#1497;&#1502;&#1493;&#1503;%20&#1492;&#1490;&#1504;&#1513;/8&#1505;&#1497;&#1499;&#1493;&#1501;%20&#1488;&#1497;&#1502;&#1493;&#1503;%20&#1492;&#1490;&#1504;&#1513;%20&#1489;&#1497;&#1514;%20&#1504;&#1497;&#1512;%2015.2.26.docx" TargetMode="External"/><Relationship Id="rId155" Type="http://schemas.openxmlformats.org/officeDocument/2006/relationships/hyperlink" Target="file:///C:/Users/u322462300/AppData/Local/Microsoft/Windows/Temporary%20Internet%20Files/Content.Outlook/NL0W8GMU/2&#1512;&#1502;&#1514;%20&#1504;&#1490;&#1489;/&#1502;&#1496;&#1493;&#1493;&#1495;%20&#1495;&#1510;&#1497;&#1493;&#1503;%20&#1488;/1&#1508;&#1511;&#1493;&#1491;&#1492;%20&#1502;&#1496;&#1493;&#1493;&#1495;%20&#1495;&#1510;&#1497;&#1493;&#1503;%20&#1488;%20&#1502;&#1512;&#1495;&#1489;%20&#1506;&#1501;%20&#1513;&#1491;&#1492;%20&#1489;&#1493;&#1511;&#1512;%20&#1493;&#1502;.&#1489;.&#1490;%2025.3.26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Y166"/>
  <sheetViews>
    <sheetView rightToLeft="1" tabSelected="1" zoomScale="110" zoomScaleNormal="11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166" sqref="L166"/>
    </sheetView>
  </sheetViews>
  <sheetFormatPr baseColWidth="10" defaultColWidth="8.83203125" defaultRowHeight="15" x14ac:dyDescent="0.2"/>
  <cols>
    <col min="2" max="3" width="9"/>
    <col min="4" max="4" width="14.33203125" style="47" bestFit="1" customWidth="1"/>
    <col min="5" max="5" width="10.6640625" style="47" bestFit="1" customWidth="1"/>
    <col min="6" max="11" width="14.33203125" style="47" customWidth="1"/>
    <col min="12" max="13" width="10.6640625" style="47" bestFit="1" customWidth="1"/>
    <col min="14" max="15" width="10.1640625" style="1" customWidth="1"/>
    <col min="16" max="16" width="10.1640625" style="19" customWidth="1"/>
    <col min="17" max="17" width="11.83203125" style="1" bestFit="1" customWidth="1"/>
    <col min="18" max="18" width="14" style="1" bestFit="1" customWidth="1"/>
    <col min="19" max="20" width="14" style="1" customWidth="1"/>
    <col min="21" max="21" width="9" style="1"/>
    <col min="22" max="22" width="9.33203125" style="1" bestFit="1" customWidth="1"/>
    <col min="23" max="23" width="9.5" style="19" bestFit="1" customWidth="1"/>
    <col min="24" max="24" width="11.83203125" style="25" bestFit="1" customWidth="1"/>
    <col min="25" max="25" width="14" style="1" bestFit="1" customWidth="1"/>
  </cols>
  <sheetData>
    <row r="1" spans="2:25" ht="16" thickBot="1" x14ac:dyDescent="0.25"/>
    <row r="2" spans="2:25" ht="19.5" customHeight="1" thickTop="1" thickBot="1" x14ac:dyDescent="0.3">
      <c r="E2" s="302" t="s">
        <v>174</v>
      </c>
      <c r="F2" s="303"/>
      <c r="G2" s="303"/>
      <c r="H2" s="303"/>
      <c r="I2" s="303"/>
      <c r="J2" s="304"/>
      <c r="K2" s="300" t="s">
        <v>166</v>
      </c>
      <c r="L2" s="305" t="s">
        <v>134</v>
      </c>
      <c r="M2" s="306"/>
      <c r="N2" s="306"/>
      <c r="O2" s="306"/>
      <c r="P2" s="306"/>
      <c r="Q2" s="306"/>
      <c r="R2" s="310" t="s">
        <v>165</v>
      </c>
      <c r="S2" s="307" t="s">
        <v>163</v>
      </c>
      <c r="T2" s="308"/>
      <c r="U2" s="308"/>
      <c r="V2" s="308"/>
      <c r="W2" s="308"/>
      <c r="X2" s="309"/>
      <c r="Y2" s="298" t="s">
        <v>166</v>
      </c>
    </row>
    <row r="3" spans="2:25" ht="17" thickTop="1" thickBot="1" x14ac:dyDescent="0.25">
      <c r="B3" s="119" t="s">
        <v>27</v>
      </c>
      <c r="C3" s="42" t="s">
        <v>28</v>
      </c>
      <c r="D3" s="82" t="s">
        <v>29</v>
      </c>
      <c r="E3" s="145" t="s">
        <v>172</v>
      </c>
      <c r="F3" s="145" t="s">
        <v>173</v>
      </c>
      <c r="G3" s="145" t="s">
        <v>152</v>
      </c>
      <c r="H3" s="146" t="s">
        <v>153</v>
      </c>
      <c r="I3" s="147" t="s">
        <v>154</v>
      </c>
      <c r="J3" s="148" t="s">
        <v>155</v>
      </c>
      <c r="K3" s="301"/>
      <c r="L3" s="149" t="s">
        <v>172</v>
      </c>
      <c r="M3" s="149" t="s">
        <v>173</v>
      </c>
      <c r="N3" s="149" t="s">
        <v>134</v>
      </c>
      <c r="O3" s="150" t="s">
        <v>153</v>
      </c>
      <c r="P3" s="151" t="s">
        <v>154</v>
      </c>
      <c r="Q3" s="152" t="s">
        <v>155</v>
      </c>
      <c r="R3" s="311"/>
      <c r="S3" s="153" t="s">
        <v>172</v>
      </c>
      <c r="T3" s="153" t="s">
        <v>173</v>
      </c>
      <c r="U3" s="153" t="s">
        <v>151</v>
      </c>
      <c r="V3" s="154" t="s">
        <v>153</v>
      </c>
      <c r="W3" s="155" t="s">
        <v>154</v>
      </c>
      <c r="X3" s="156" t="s">
        <v>155</v>
      </c>
      <c r="Y3" s="299"/>
    </row>
    <row r="4" spans="2:25" ht="15.75" hidden="1" customHeight="1" thickTop="1" x14ac:dyDescent="0.2">
      <c r="B4" s="327" t="s">
        <v>70</v>
      </c>
      <c r="C4" s="315" t="s">
        <v>135</v>
      </c>
      <c r="D4" s="352" t="s">
        <v>36</v>
      </c>
      <c r="E4" s="358">
        <v>46101</v>
      </c>
      <c r="F4" s="358">
        <v>46101</v>
      </c>
      <c r="G4" s="359">
        <v>1</v>
      </c>
      <c r="H4" s="360">
        <v>2</v>
      </c>
      <c r="I4" s="361">
        <v>2</v>
      </c>
      <c r="J4" s="16">
        <f t="shared" ref="J4:J23" si="0">I4/H4*100</f>
        <v>100</v>
      </c>
      <c r="K4" s="49"/>
      <c r="L4" s="159">
        <v>46064</v>
      </c>
      <c r="M4" s="159">
        <v>46064</v>
      </c>
      <c r="N4" s="178">
        <v>1</v>
      </c>
      <c r="O4" s="175">
        <f>H4</f>
        <v>2</v>
      </c>
      <c r="P4" s="176">
        <v>2</v>
      </c>
      <c r="Q4" s="190">
        <f>P4/O4*100</f>
        <v>100</v>
      </c>
      <c r="R4" s="225"/>
      <c r="S4" s="48"/>
      <c r="T4" s="48"/>
      <c r="U4" s="48"/>
      <c r="V4" s="7">
        <f>O4</f>
        <v>2</v>
      </c>
      <c r="W4" s="94"/>
      <c r="X4" s="16">
        <f t="shared" ref="X4:X23" si="1">W4/V4*100</f>
        <v>0</v>
      </c>
      <c r="Y4" s="49"/>
    </row>
    <row r="5" spans="2:25" ht="16" hidden="1" thickTop="1" x14ac:dyDescent="0.2">
      <c r="B5" s="328"/>
      <c r="C5" s="316"/>
      <c r="D5" s="353" t="s">
        <v>37</v>
      </c>
      <c r="E5" s="362">
        <v>46101</v>
      </c>
      <c r="F5" s="362">
        <v>46101</v>
      </c>
      <c r="G5" s="363">
        <v>1</v>
      </c>
      <c r="H5" s="360">
        <v>7</v>
      </c>
      <c r="I5" s="364">
        <v>6</v>
      </c>
      <c r="J5" s="17">
        <f t="shared" si="0"/>
        <v>85.714285714285708</v>
      </c>
      <c r="K5" s="50"/>
      <c r="L5" s="161">
        <v>46064</v>
      </c>
      <c r="M5" s="161">
        <v>46064</v>
      </c>
      <c r="N5" s="31">
        <v>1</v>
      </c>
      <c r="O5" s="175">
        <f t="shared" ref="O5:O19" si="2">H5</f>
        <v>7</v>
      </c>
      <c r="P5" s="177">
        <v>6</v>
      </c>
      <c r="Q5" s="190">
        <f t="shared" ref="Q5:Q52" si="3">P5/O5*100</f>
        <v>85.714285714285708</v>
      </c>
      <c r="R5" s="226"/>
      <c r="S5" s="91"/>
      <c r="T5" s="91"/>
      <c r="U5" s="91"/>
      <c r="V5" s="7">
        <f t="shared" ref="V5:V20" si="4">O5</f>
        <v>7</v>
      </c>
      <c r="W5" s="95"/>
      <c r="X5" s="17">
        <f t="shared" si="1"/>
        <v>0</v>
      </c>
      <c r="Y5" s="50"/>
    </row>
    <row r="6" spans="2:25" ht="16" hidden="1" thickTop="1" x14ac:dyDescent="0.2">
      <c r="B6" s="328"/>
      <c r="C6" s="316"/>
      <c r="D6" s="352" t="s">
        <v>35</v>
      </c>
      <c r="E6" s="358">
        <v>46101</v>
      </c>
      <c r="F6" s="358">
        <v>46101</v>
      </c>
      <c r="G6" s="359">
        <v>1</v>
      </c>
      <c r="H6" s="360">
        <v>12</v>
      </c>
      <c r="I6" s="361">
        <v>10</v>
      </c>
      <c r="J6" s="16">
        <f t="shared" si="0"/>
        <v>83.333333333333343</v>
      </c>
      <c r="K6" s="50"/>
      <c r="L6" s="159">
        <v>46064</v>
      </c>
      <c r="M6" s="159">
        <v>46064</v>
      </c>
      <c r="N6" s="178">
        <v>1</v>
      </c>
      <c r="O6" s="175">
        <f t="shared" si="2"/>
        <v>12</v>
      </c>
      <c r="P6" s="176">
        <v>12</v>
      </c>
      <c r="Q6" s="190">
        <f t="shared" si="3"/>
        <v>100</v>
      </c>
      <c r="R6" s="226"/>
      <c r="S6" s="48"/>
      <c r="T6" s="48"/>
      <c r="U6" s="48"/>
      <c r="V6" s="7">
        <f t="shared" si="4"/>
        <v>12</v>
      </c>
      <c r="W6" s="94"/>
      <c r="X6" s="16">
        <f t="shared" si="1"/>
        <v>0</v>
      </c>
      <c r="Y6" s="50"/>
    </row>
    <row r="7" spans="2:25" ht="16" hidden="1" thickTop="1" x14ac:dyDescent="0.2">
      <c r="B7" s="328"/>
      <c r="C7" s="316"/>
      <c r="D7" s="352" t="s">
        <v>33</v>
      </c>
      <c r="E7" s="358">
        <v>46072</v>
      </c>
      <c r="F7" s="358">
        <v>46072</v>
      </c>
      <c r="G7" s="359">
        <v>1</v>
      </c>
      <c r="H7" s="360">
        <v>17</v>
      </c>
      <c r="I7" s="361">
        <v>15</v>
      </c>
      <c r="J7" s="16">
        <f t="shared" si="0"/>
        <v>88.235294117647058</v>
      </c>
      <c r="K7" s="50"/>
      <c r="L7" s="159">
        <v>46057</v>
      </c>
      <c r="M7" s="159">
        <v>46057</v>
      </c>
      <c r="N7" s="178">
        <v>1</v>
      </c>
      <c r="O7" s="175">
        <f t="shared" si="2"/>
        <v>17</v>
      </c>
      <c r="P7" s="176">
        <v>14</v>
      </c>
      <c r="Q7" s="190">
        <f t="shared" si="3"/>
        <v>82.35294117647058</v>
      </c>
      <c r="R7" s="226"/>
      <c r="S7" s="48"/>
      <c r="T7" s="48"/>
      <c r="U7" s="48"/>
      <c r="V7" s="7">
        <f t="shared" si="4"/>
        <v>17</v>
      </c>
      <c r="W7" s="94"/>
      <c r="X7" s="16">
        <f t="shared" si="1"/>
        <v>0</v>
      </c>
      <c r="Y7" s="50"/>
    </row>
    <row r="8" spans="2:25" ht="16" hidden="1" thickTop="1" x14ac:dyDescent="0.2">
      <c r="B8" s="328"/>
      <c r="C8" s="316"/>
      <c r="D8" s="352" t="s">
        <v>32</v>
      </c>
      <c r="E8" s="358">
        <v>46072</v>
      </c>
      <c r="F8" s="358">
        <v>46072</v>
      </c>
      <c r="G8" s="359">
        <v>1</v>
      </c>
      <c r="H8" s="360">
        <v>19</v>
      </c>
      <c r="I8" s="361">
        <v>17</v>
      </c>
      <c r="J8" s="16">
        <f t="shared" si="0"/>
        <v>89.473684210526315</v>
      </c>
      <c r="K8" s="50"/>
      <c r="L8" s="159">
        <v>46057</v>
      </c>
      <c r="M8" s="159">
        <v>46057</v>
      </c>
      <c r="N8" s="178">
        <v>1</v>
      </c>
      <c r="O8" s="175">
        <f t="shared" si="2"/>
        <v>19</v>
      </c>
      <c r="P8" s="176">
        <v>15</v>
      </c>
      <c r="Q8" s="190">
        <f t="shared" si="3"/>
        <v>78.94736842105263</v>
      </c>
      <c r="R8" s="226"/>
      <c r="S8" s="48"/>
      <c r="T8" s="48"/>
      <c r="U8" s="48"/>
      <c r="V8" s="7">
        <f t="shared" si="4"/>
        <v>19</v>
      </c>
      <c r="W8" s="94"/>
      <c r="X8" s="16">
        <f t="shared" si="1"/>
        <v>0</v>
      </c>
      <c r="Y8" s="50"/>
    </row>
    <row r="9" spans="2:25" ht="16" hidden="1" thickTop="1" x14ac:dyDescent="0.2">
      <c r="B9" s="328"/>
      <c r="C9" s="316"/>
      <c r="D9" s="352" t="s">
        <v>34</v>
      </c>
      <c r="E9" s="358">
        <v>46065</v>
      </c>
      <c r="F9" s="358">
        <v>46065</v>
      </c>
      <c r="G9" s="359">
        <v>1</v>
      </c>
      <c r="H9" s="360">
        <v>17</v>
      </c>
      <c r="I9" s="361">
        <v>13</v>
      </c>
      <c r="J9" s="16">
        <f t="shared" si="0"/>
        <v>76.470588235294116</v>
      </c>
      <c r="K9" s="50"/>
      <c r="L9" s="274">
        <v>46078</v>
      </c>
      <c r="M9" s="48"/>
      <c r="N9" s="48"/>
      <c r="O9" s="32">
        <f t="shared" si="2"/>
        <v>17</v>
      </c>
      <c r="P9" s="21"/>
      <c r="Q9" s="190">
        <f t="shared" si="3"/>
        <v>0</v>
      </c>
      <c r="R9" s="226"/>
      <c r="S9" s="48"/>
      <c r="T9" s="48"/>
      <c r="U9" s="48"/>
      <c r="V9" s="7">
        <f t="shared" si="4"/>
        <v>17</v>
      </c>
      <c r="W9" s="94"/>
      <c r="X9" s="16">
        <f t="shared" si="1"/>
        <v>0</v>
      </c>
      <c r="Y9" s="50"/>
    </row>
    <row r="10" spans="2:25" ht="16" hidden="1" thickTop="1" x14ac:dyDescent="0.2">
      <c r="B10" s="328"/>
      <c r="C10" s="316"/>
      <c r="D10" s="352" t="s">
        <v>31</v>
      </c>
      <c r="E10" s="358">
        <v>46065</v>
      </c>
      <c r="F10" s="358">
        <v>46065</v>
      </c>
      <c r="G10" s="359">
        <v>1</v>
      </c>
      <c r="H10" s="360">
        <v>15</v>
      </c>
      <c r="I10" s="361">
        <v>11</v>
      </c>
      <c r="J10" s="16">
        <f t="shared" si="0"/>
        <v>73.333333333333329</v>
      </c>
      <c r="K10" s="50"/>
      <c r="L10" s="159">
        <v>46078</v>
      </c>
      <c r="M10" s="159">
        <v>46078</v>
      </c>
      <c r="N10" s="178">
        <v>1</v>
      </c>
      <c r="O10" s="175">
        <f t="shared" si="2"/>
        <v>15</v>
      </c>
      <c r="P10" s="176">
        <v>13</v>
      </c>
      <c r="Q10" s="190">
        <f t="shared" si="3"/>
        <v>86.666666666666671</v>
      </c>
      <c r="R10" s="226"/>
      <c r="S10" s="48"/>
      <c r="T10" s="48"/>
      <c r="U10" s="48"/>
      <c r="V10" s="7">
        <f t="shared" si="4"/>
        <v>15</v>
      </c>
      <c r="W10" s="94"/>
      <c r="X10" s="16">
        <f t="shared" si="1"/>
        <v>0</v>
      </c>
      <c r="Y10" s="50"/>
    </row>
    <row r="11" spans="2:25" ht="16" hidden="1" thickTop="1" x14ac:dyDescent="0.2">
      <c r="B11" s="328"/>
      <c r="C11" s="316"/>
      <c r="D11" s="352" t="s">
        <v>25</v>
      </c>
      <c r="E11" s="358">
        <v>46065</v>
      </c>
      <c r="F11" s="358">
        <v>46065</v>
      </c>
      <c r="G11" s="359">
        <v>1</v>
      </c>
      <c r="H11" s="360">
        <v>20</v>
      </c>
      <c r="I11" s="361">
        <v>17</v>
      </c>
      <c r="J11" s="16">
        <f t="shared" si="0"/>
        <v>85</v>
      </c>
      <c r="K11" s="50"/>
      <c r="L11" s="272"/>
      <c r="M11" s="48"/>
      <c r="N11" s="48"/>
      <c r="O11" s="32">
        <f t="shared" si="2"/>
        <v>20</v>
      </c>
      <c r="P11" s="21"/>
      <c r="Q11" s="190">
        <f t="shared" si="3"/>
        <v>0</v>
      </c>
      <c r="R11" s="226"/>
      <c r="S11" s="48"/>
      <c r="T11" s="48"/>
      <c r="U11" s="48"/>
      <c r="V11" s="7">
        <f t="shared" si="4"/>
        <v>20</v>
      </c>
      <c r="W11" s="94"/>
      <c r="X11" s="16">
        <f t="shared" si="1"/>
        <v>0</v>
      </c>
      <c r="Y11" s="50"/>
    </row>
    <row r="12" spans="2:25" ht="14.25" hidden="1" customHeight="1" x14ac:dyDescent="0.2">
      <c r="B12" s="328"/>
      <c r="C12" s="316"/>
      <c r="D12" s="352" t="s">
        <v>2</v>
      </c>
      <c r="E12" s="358">
        <v>46058</v>
      </c>
      <c r="F12" s="358">
        <v>46058</v>
      </c>
      <c r="G12" s="359">
        <v>1</v>
      </c>
      <c r="H12" s="360">
        <v>19</v>
      </c>
      <c r="I12" s="361">
        <v>14</v>
      </c>
      <c r="J12" s="16">
        <f t="shared" si="0"/>
        <v>73.68421052631578</v>
      </c>
      <c r="K12" s="50"/>
      <c r="L12" s="159">
        <v>46071</v>
      </c>
      <c r="M12" s="159">
        <v>46071</v>
      </c>
      <c r="N12" s="178">
        <v>1</v>
      </c>
      <c r="O12" s="175">
        <f t="shared" si="2"/>
        <v>19</v>
      </c>
      <c r="P12" s="176">
        <v>14</v>
      </c>
      <c r="Q12" s="190">
        <f t="shared" si="3"/>
        <v>73.68421052631578</v>
      </c>
      <c r="R12" s="226"/>
      <c r="S12" s="48"/>
      <c r="T12" s="48"/>
      <c r="U12" s="48"/>
      <c r="V12" s="7">
        <f t="shared" si="4"/>
        <v>19</v>
      </c>
      <c r="W12" s="94"/>
      <c r="X12" s="16">
        <f t="shared" si="1"/>
        <v>0</v>
      </c>
      <c r="Y12" s="50"/>
    </row>
    <row r="13" spans="2:25" ht="16" hidden="1" thickTop="1" x14ac:dyDescent="0.2">
      <c r="B13" s="328"/>
      <c r="C13" s="316"/>
      <c r="D13" s="354" t="s">
        <v>30</v>
      </c>
      <c r="E13" s="365">
        <v>46058</v>
      </c>
      <c r="F13" s="365">
        <v>46058</v>
      </c>
      <c r="G13" s="366"/>
      <c r="H13" s="360">
        <v>14</v>
      </c>
      <c r="I13" s="367">
        <v>8</v>
      </c>
      <c r="J13" s="15">
        <f t="shared" si="0"/>
        <v>57.142857142857139</v>
      </c>
      <c r="K13" s="50">
        <v>2</v>
      </c>
      <c r="L13" s="162">
        <v>46071</v>
      </c>
      <c r="M13" s="162">
        <v>46071</v>
      </c>
      <c r="N13" s="44"/>
      <c r="O13" s="262">
        <f t="shared" si="2"/>
        <v>14</v>
      </c>
      <c r="P13" s="275">
        <v>8</v>
      </c>
      <c r="Q13" s="190">
        <f t="shared" si="3"/>
        <v>57.142857142857139</v>
      </c>
      <c r="R13" s="226">
        <v>2</v>
      </c>
      <c r="S13" s="92"/>
      <c r="T13" s="92"/>
      <c r="U13" s="92"/>
      <c r="V13" s="7">
        <f t="shared" si="4"/>
        <v>14</v>
      </c>
      <c r="W13" s="96"/>
      <c r="X13" s="15">
        <f t="shared" si="1"/>
        <v>0</v>
      </c>
      <c r="Y13" s="50"/>
    </row>
    <row r="14" spans="2:25" ht="16" hidden="1" thickTop="1" x14ac:dyDescent="0.2">
      <c r="B14" s="328"/>
      <c r="C14" s="316"/>
      <c r="D14" s="355" t="s">
        <v>41</v>
      </c>
      <c r="E14" s="358">
        <v>46101</v>
      </c>
      <c r="F14" s="358">
        <v>46101</v>
      </c>
      <c r="G14" s="359"/>
      <c r="H14" s="360">
        <v>30</v>
      </c>
      <c r="I14" s="361">
        <v>16</v>
      </c>
      <c r="J14" s="16">
        <f t="shared" si="0"/>
        <v>53.333333333333336</v>
      </c>
      <c r="K14" s="50">
        <v>4</v>
      </c>
      <c r="L14" s="255">
        <v>46085</v>
      </c>
      <c r="M14" s="255">
        <v>46085</v>
      </c>
      <c r="N14" s="43"/>
      <c r="O14" s="262">
        <f t="shared" si="2"/>
        <v>30</v>
      </c>
      <c r="P14" s="263">
        <v>18</v>
      </c>
      <c r="Q14" s="190">
        <f t="shared" si="3"/>
        <v>60</v>
      </c>
      <c r="R14" s="226">
        <v>1</v>
      </c>
      <c r="S14" s="48"/>
      <c r="T14" s="48"/>
      <c r="U14" s="48"/>
      <c r="V14" s="7">
        <f t="shared" si="4"/>
        <v>30</v>
      </c>
      <c r="W14" s="94"/>
      <c r="X14" s="16">
        <f t="shared" si="1"/>
        <v>0</v>
      </c>
      <c r="Y14" s="50"/>
    </row>
    <row r="15" spans="2:25" ht="16" hidden="1" thickTop="1" x14ac:dyDescent="0.2">
      <c r="B15" s="328"/>
      <c r="C15" s="316"/>
      <c r="D15" s="356" t="s">
        <v>43</v>
      </c>
      <c r="E15" s="362">
        <v>46086</v>
      </c>
      <c r="F15" s="362">
        <v>46086</v>
      </c>
      <c r="G15" s="363"/>
      <c r="H15" s="360">
        <v>26</v>
      </c>
      <c r="I15" s="364">
        <v>18</v>
      </c>
      <c r="J15" s="17">
        <f t="shared" si="0"/>
        <v>69.230769230769226</v>
      </c>
      <c r="K15" s="50">
        <v>1</v>
      </c>
      <c r="L15" s="244">
        <v>46096</v>
      </c>
      <c r="M15" s="244">
        <v>46096</v>
      </c>
      <c r="N15" s="264"/>
      <c r="O15" s="262">
        <f t="shared" si="2"/>
        <v>26</v>
      </c>
      <c r="P15" s="267">
        <v>13</v>
      </c>
      <c r="Q15" s="190">
        <f t="shared" si="3"/>
        <v>50</v>
      </c>
      <c r="R15" s="226">
        <v>6</v>
      </c>
      <c r="S15" s="91"/>
      <c r="T15" s="91"/>
      <c r="U15" s="91"/>
      <c r="V15" s="7">
        <f t="shared" si="4"/>
        <v>26</v>
      </c>
      <c r="W15" s="95"/>
      <c r="X15" s="17">
        <f t="shared" si="1"/>
        <v>0</v>
      </c>
      <c r="Y15" s="50"/>
    </row>
    <row r="16" spans="2:25" ht="16" hidden="1" thickTop="1" x14ac:dyDescent="0.2">
      <c r="B16" s="328"/>
      <c r="C16" s="316"/>
      <c r="D16" s="355" t="s">
        <v>39</v>
      </c>
      <c r="E16" s="358">
        <v>46101</v>
      </c>
      <c r="F16" s="358">
        <v>46101</v>
      </c>
      <c r="G16" s="359">
        <v>1</v>
      </c>
      <c r="H16" s="360">
        <v>36</v>
      </c>
      <c r="I16" s="361">
        <v>27</v>
      </c>
      <c r="J16" s="16">
        <f t="shared" si="0"/>
        <v>75</v>
      </c>
      <c r="K16" s="50"/>
      <c r="L16" s="159">
        <v>46092</v>
      </c>
      <c r="M16" s="159">
        <v>46092</v>
      </c>
      <c r="N16" s="178">
        <v>1</v>
      </c>
      <c r="O16" s="175">
        <f t="shared" si="2"/>
        <v>36</v>
      </c>
      <c r="P16" s="176">
        <v>29</v>
      </c>
      <c r="Q16" s="190">
        <f>P16/O16*100</f>
        <v>80.555555555555557</v>
      </c>
      <c r="R16" s="226"/>
      <c r="S16" s="48"/>
      <c r="T16" s="48"/>
      <c r="U16" s="48"/>
      <c r="V16" s="7">
        <f t="shared" si="4"/>
        <v>36</v>
      </c>
      <c r="W16" s="94"/>
      <c r="X16" s="16">
        <f t="shared" si="1"/>
        <v>0</v>
      </c>
      <c r="Y16" s="50"/>
    </row>
    <row r="17" spans="2:25" ht="16" hidden="1" thickTop="1" x14ac:dyDescent="0.2">
      <c r="B17" s="328"/>
      <c r="C17" s="316"/>
      <c r="D17" s="355" t="s">
        <v>42</v>
      </c>
      <c r="E17" s="368">
        <v>46107</v>
      </c>
      <c r="F17" s="359"/>
      <c r="G17" s="359"/>
      <c r="H17" s="360">
        <v>29</v>
      </c>
      <c r="I17" s="361"/>
      <c r="J17" s="16">
        <f t="shared" si="0"/>
        <v>0</v>
      </c>
      <c r="K17" s="50"/>
      <c r="L17" s="159">
        <v>46099</v>
      </c>
      <c r="M17" s="159">
        <v>46099</v>
      </c>
      <c r="N17" s="178">
        <v>1</v>
      </c>
      <c r="O17" s="175">
        <f t="shared" si="2"/>
        <v>29</v>
      </c>
      <c r="P17" s="176">
        <v>20</v>
      </c>
      <c r="Q17" s="190">
        <f t="shared" si="3"/>
        <v>68.965517241379317</v>
      </c>
      <c r="R17" s="227"/>
      <c r="S17" s="48"/>
      <c r="T17" s="48"/>
      <c r="U17" s="48"/>
      <c r="V17" s="7">
        <f t="shared" si="4"/>
        <v>29</v>
      </c>
      <c r="W17" s="94"/>
      <c r="X17" s="16">
        <f t="shared" si="1"/>
        <v>0</v>
      </c>
      <c r="Y17" s="50"/>
    </row>
    <row r="18" spans="2:25" ht="16" hidden="1" thickTop="1" x14ac:dyDescent="0.2">
      <c r="B18" s="328"/>
      <c r="C18" s="316"/>
      <c r="D18" s="355" t="s">
        <v>40</v>
      </c>
      <c r="E18" s="368">
        <v>46107</v>
      </c>
      <c r="F18" s="359"/>
      <c r="G18" s="359"/>
      <c r="H18" s="360">
        <v>31</v>
      </c>
      <c r="I18" s="361"/>
      <c r="J18" s="16">
        <f t="shared" si="0"/>
        <v>0</v>
      </c>
      <c r="K18" s="50"/>
      <c r="L18" s="255">
        <v>46099</v>
      </c>
      <c r="M18" s="255">
        <v>46099</v>
      </c>
      <c r="N18" s="43"/>
      <c r="O18" s="262">
        <f t="shared" si="2"/>
        <v>31</v>
      </c>
      <c r="P18" s="263">
        <v>7</v>
      </c>
      <c r="Q18" s="190">
        <f t="shared" si="3"/>
        <v>22.58064516129032</v>
      </c>
      <c r="R18" s="226">
        <v>15</v>
      </c>
      <c r="S18" s="48"/>
      <c r="T18" s="48"/>
      <c r="U18" s="48"/>
      <c r="V18" s="7">
        <f t="shared" si="4"/>
        <v>31</v>
      </c>
      <c r="W18" s="94"/>
      <c r="X18" s="16">
        <f t="shared" si="1"/>
        <v>0</v>
      </c>
      <c r="Y18" s="50"/>
    </row>
    <row r="19" spans="2:25" ht="16" hidden="1" thickTop="1" x14ac:dyDescent="0.2">
      <c r="B19" s="328"/>
      <c r="C19" s="316"/>
      <c r="D19" s="357" t="s">
        <v>38</v>
      </c>
      <c r="E19" s="369">
        <v>46086</v>
      </c>
      <c r="F19" s="369">
        <v>46086</v>
      </c>
      <c r="G19" s="370">
        <v>1</v>
      </c>
      <c r="H19" s="371">
        <v>25</v>
      </c>
      <c r="I19" s="372">
        <v>19</v>
      </c>
      <c r="J19" s="26">
        <f t="shared" si="0"/>
        <v>76</v>
      </c>
      <c r="K19" s="51"/>
      <c r="L19" s="276">
        <v>46096</v>
      </c>
      <c r="M19" s="276">
        <v>46096</v>
      </c>
      <c r="N19" s="281">
        <v>1</v>
      </c>
      <c r="O19" s="175">
        <f t="shared" si="2"/>
        <v>25</v>
      </c>
      <c r="P19" s="288">
        <v>19</v>
      </c>
      <c r="Q19" s="191">
        <f t="shared" si="3"/>
        <v>76</v>
      </c>
      <c r="R19" s="228"/>
      <c r="S19" s="93"/>
      <c r="T19" s="93"/>
      <c r="U19" s="93"/>
      <c r="V19" s="8">
        <f t="shared" si="4"/>
        <v>25</v>
      </c>
      <c r="W19" s="97"/>
      <c r="X19" s="26">
        <f t="shared" si="1"/>
        <v>0</v>
      </c>
      <c r="Y19" s="51"/>
    </row>
    <row r="20" spans="2:25" ht="17" hidden="1" thickTop="1" thickBot="1" x14ac:dyDescent="0.25">
      <c r="B20" s="328"/>
      <c r="C20" s="317"/>
      <c r="D20" s="85" t="s">
        <v>160</v>
      </c>
      <c r="E20" s="287">
        <v>46093</v>
      </c>
      <c r="F20" s="287">
        <v>46093</v>
      </c>
      <c r="G20" s="259"/>
      <c r="H20" s="260">
        <v>16</v>
      </c>
      <c r="I20" s="261">
        <v>8</v>
      </c>
      <c r="J20" s="18">
        <f t="shared" si="0"/>
        <v>50</v>
      </c>
      <c r="K20" s="57">
        <v>3</v>
      </c>
      <c r="L20" s="280">
        <v>46071</v>
      </c>
      <c r="M20" s="10"/>
      <c r="N20" s="10"/>
      <c r="O20" s="34">
        <f>H20</f>
        <v>16</v>
      </c>
      <c r="P20" s="23">
        <v>2</v>
      </c>
      <c r="Q20" s="116">
        <f t="shared" si="3"/>
        <v>12.5</v>
      </c>
      <c r="R20" s="229"/>
      <c r="S20" s="98"/>
      <c r="T20" s="98"/>
      <c r="U20" s="98"/>
      <c r="V20" s="10">
        <f t="shared" si="4"/>
        <v>16</v>
      </c>
      <c r="W20" s="99"/>
      <c r="X20" s="18">
        <f t="shared" si="1"/>
        <v>0</v>
      </c>
      <c r="Y20" s="208"/>
    </row>
    <row r="21" spans="2:25" ht="17" hidden="1" thickTop="1" thickBot="1" x14ac:dyDescent="0.25">
      <c r="B21" s="328"/>
      <c r="C21" s="330" t="s">
        <v>157</v>
      </c>
      <c r="D21" s="331"/>
      <c r="E21" s="331"/>
      <c r="F21" s="332"/>
      <c r="G21" s="78">
        <f>G4+G5+G6+G7+G8+G9+G10+G11+G12+G13+G14+G15+G16+G17+G19+G18+G20</f>
        <v>11</v>
      </c>
      <c r="H21" s="67">
        <f>H4+H5+H6+H7+H8+H9+H10+H11+H12+H13+H14+H15+H16+H17+H19+H18+H20</f>
        <v>335</v>
      </c>
      <c r="I21" s="67">
        <f>I4+I5+I6+I7+I8+I9+I10+I11+I12+I13+I14+I15+I16+I17+I19+I18+I20</f>
        <v>201</v>
      </c>
      <c r="J21" s="100">
        <f>I21/H21*100</f>
        <v>60</v>
      </c>
      <c r="K21" s="78"/>
      <c r="L21" s="67"/>
      <c r="M21" s="67"/>
      <c r="N21" s="67">
        <f>N4+N5+N6+N7+N8+N9+N10+N11+N12+N13+N14+N15+N16+N17+N19+N18+N20</f>
        <v>10</v>
      </c>
      <c r="O21" s="77">
        <f>O4+O5+O6+O7+O8+O9+O10+O11+O12+O13+O14+O15+O16+O17+O19+O18+O20</f>
        <v>335</v>
      </c>
      <c r="P21" s="67">
        <f>P4+P5+P6+P7+P8+P9+P10+P11+P12+P13+P14+P15+P16+P17+P19+P18+P20</f>
        <v>192</v>
      </c>
      <c r="Q21" s="192">
        <f t="shared" si="3"/>
        <v>57.313432835820898</v>
      </c>
      <c r="R21" s="230"/>
      <c r="S21" s="78"/>
      <c r="T21" s="78"/>
      <c r="U21" s="78">
        <f>U4+U5+U6+U7+U8+U9+U10+U11+U12+U13+U14+U15+U16+U17+U19+U18+U20</f>
        <v>0</v>
      </c>
      <c r="V21" s="67">
        <f>V4+V5+V6+V7+V8+V9+V10+V11+V12+V13+V14+V15+V16+V17+V19+V18+V20</f>
        <v>335</v>
      </c>
      <c r="W21" s="71">
        <f>W4+W5+W6+W7+W8+W9+W10+W11+W12+W13+W14+W15+W16+W17+W19+W18+W20</f>
        <v>0</v>
      </c>
      <c r="X21" s="100">
        <f t="shared" si="1"/>
        <v>0</v>
      </c>
      <c r="Y21" s="209"/>
    </row>
    <row r="22" spans="2:25" ht="16" thickTop="1" x14ac:dyDescent="0.2">
      <c r="B22" s="328"/>
      <c r="C22" s="321" t="s">
        <v>147</v>
      </c>
      <c r="D22" s="80" t="s">
        <v>6</v>
      </c>
      <c r="E22" s="185">
        <v>46142</v>
      </c>
      <c r="F22" s="92"/>
      <c r="G22" s="92"/>
      <c r="H22" s="9">
        <v>13</v>
      </c>
      <c r="I22" s="96"/>
      <c r="J22" s="15">
        <f t="shared" si="0"/>
        <v>0</v>
      </c>
      <c r="K22" s="49"/>
      <c r="L22" s="185">
        <v>46120</v>
      </c>
      <c r="M22" s="92"/>
      <c r="N22" s="92"/>
      <c r="O22" s="33">
        <f>H22</f>
        <v>13</v>
      </c>
      <c r="P22" s="20"/>
      <c r="Q22" s="193">
        <f t="shared" si="3"/>
        <v>0</v>
      </c>
      <c r="R22" s="225"/>
      <c r="S22" s="92"/>
      <c r="T22" s="92"/>
      <c r="U22" s="92"/>
      <c r="V22" s="9">
        <f>O22</f>
        <v>13</v>
      </c>
      <c r="W22" s="96"/>
      <c r="X22" s="15">
        <f t="shared" si="1"/>
        <v>0</v>
      </c>
      <c r="Y22" s="49"/>
    </row>
    <row r="23" spans="2:25" hidden="1" x14ac:dyDescent="0.2">
      <c r="B23" s="328"/>
      <c r="C23" s="321"/>
      <c r="D23" s="80" t="s">
        <v>8</v>
      </c>
      <c r="E23" s="255">
        <v>46106</v>
      </c>
      <c r="F23" s="255">
        <v>46106</v>
      </c>
      <c r="G23" s="43"/>
      <c r="H23" s="163">
        <v>13</v>
      </c>
      <c r="I23" s="164">
        <v>4</v>
      </c>
      <c r="J23" s="16">
        <f t="shared" si="0"/>
        <v>30.76923076923077</v>
      </c>
      <c r="K23" s="50">
        <v>6</v>
      </c>
      <c r="L23" s="255">
        <v>46106</v>
      </c>
      <c r="M23" s="255">
        <v>46106</v>
      </c>
      <c r="N23" s="43"/>
      <c r="O23" s="266">
        <f t="shared" ref="O23:O28" si="5">H23</f>
        <v>13</v>
      </c>
      <c r="P23" s="263">
        <v>4</v>
      </c>
      <c r="Q23" s="190">
        <f t="shared" si="3"/>
        <v>30.76923076923077</v>
      </c>
      <c r="R23" s="226">
        <v>6</v>
      </c>
      <c r="S23" s="48"/>
      <c r="T23" s="48"/>
      <c r="U23" s="48"/>
      <c r="V23" s="7">
        <f t="shared" ref="V23:V29" si="6">O23</f>
        <v>13</v>
      </c>
      <c r="W23" s="94"/>
      <c r="X23" s="16">
        <f t="shared" si="1"/>
        <v>0</v>
      </c>
      <c r="Y23" s="50"/>
    </row>
    <row r="24" spans="2:25" x14ac:dyDescent="0.2">
      <c r="B24" s="328"/>
      <c r="C24" s="321"/>
      <c r="D24" s="80" t="s">
        <v>4</v>
      </c>
      <c r="E24" s="167">
        <v>46142</v>
      </c>
      <c r="F24" s="48"/>
      <c r="G24" s="48"/>
      <c r="H24" s="7">
        <v>13</v>
      </c>
      <c r="I24" s="94"/>
      <c r="J24" s="16">
        <f>I24/H24*100</f>
        <v>0</v>
      </c>
      <c r="K24" s="50"/>
      <c r="L24" s="167">
        <v>46120</v>
      </c>
      <c r="M24" s="48"/>
      <c r="N24" s="48"/>
      <c r="O24" s="33">
        <f t="shared" si="5"/>
        <v>13</v>
      </c>
      <c r="P24" s="21"/>
      <c r="Q24" s="190">
        <f t="shared" si="3"/>
        <v>0</v>
      </c>
      <c r="R24" s="226"/>
      <c r="S24" s="48"/>
      <c r="T24" s="48"/>
      <c r="U24" s="48"/>
      <c r="V24" s="7">
        <f t="shared" si="6"/>
        <v>13</v>
      </c>
      <c r="W24" s="94"/>
      <c r="X24" s="16">
        <f>W24/V24*100</f>
        <v>0</v>
      </c>
      <c r="Y24" s="50"/>
    </row>
    <row r="25" spans="2:25" hidden="1" x14ac:dyDescent="0.2">
      <c r="B25" s="328"/>
      <c r="C25" s="321"/>
      <c r="D25" s="80" t="s">
        <v>44</v>
      </c>
      <c r="E25" s="255">
        <v>46106</v>
      </c>
      <c r="F25" s="255">
        <v>46106</v>
      </c>
      <c r="G25" s="43"/>
      <c r="H25" s="163">
        <v>12</v>
      </c>
      <c r="I25" s="164">
        <v>1</v>
      </c>
      <c r="J25" s="16">
        <f>I25/H25*100</f>
        <v>8.3333333333333321</v>
      </c>
      <c r="K25" s="50">
        <v>8</v>
      </c>
      <c r="L25" s="255">
        <v>46106</v>
      </c>
      <c r="M25" s="255">
        <v>46106</v>
      </c>
      <c r="N25" s="43"/>
      <c r="O25" s="266">
        <f t="shared" si="5"/>
        <v>12</v>
      </c>
      <c r="P25" s="263">
        <v>2</v>
      </c>
      <c r="Q25" s="190">
        <f t="shared" si="3"/>
        <v>16.666666666666664</v>
      </c>
      <c r="R25" s="226">
        <v>7</v>
      </c>
      <c r="S25" s="48"/>
      <c r="T25" s="48"/>
      <c r="U25" s="48"/>
      <c r="V25" s="7">
        <f t="shared" si="6"/>
        <v>12</v>
      </c>
      <c r="W25" s="94"/>
      <c r="X25" s="16">
        <f>W25/V25*100</f>
        <v>0</v>
      </c>
      <c r="Y25" s="50"/>
    </row>
    <row r="26" spans="2:25" hidden="1" x14ac:dyDescent="0.2">
      <c r="B26" s="328"/>
      <c r="C26" s="322"/>
      <c r="D26" s="80" t="s">
        <v>45</v>
      </c>
      <c r="E26" s="255">
        <v>46106</v>
      </c>
      <c r="F26" s="255">
        <v>46106</v>
      </c>
      <c r="G26" s="43"/>
      <c r="H26" s="163">
        <v>14</v>
      </c>
      <c r="I26" s="164">
        <v>5</v>
      </c>
      <c r="J26" s="16">
        <f>I26/H26*100</f>
        <v>35.714285714285715</v>
      </c>
      <c r="K26" s="50">
        <v>5</v>
      </c>
      <c r="L26" s="255">
        <v>46106</v>
      </c>
      <c r="M26" s="255">
        <v>46106</v>
      </c>
      <c r="N26" s="43"/>
      <c r="O26" s="266">
        <f t="shared" si="5"/>
        <v>14</v>
      </c>
      <c r="P26" s="263">
        <v>5</v>
      </c>
      <c r="Q26" s="190">
        <f t="shared" si="3"/>
        <v>35.714285714285715</v>
      </c>
      <c r="R26" s="226">
        <v>5</v>
      </c>
      <c r="S26" s="48"/>
      <c r="T26" s="48"/>
      <c r="U26" s="48"/>
      <c r="V26" s="7">
        <f t="shared" si="6"/>
        <v>14</v>
      </c>
      <c r="W26" s="94"/>
      <c r="X26" s="16">
        <f>W26/V26*100</f>
        <v>0</v>
      </c>
      <c r="Y26" s="50"/>
    </row>
    <row r="27" spans="2:25" hidden="1" x14ac:dyDescent="0.2">
      <c r="B27" s="328"/>
      <c r="C27" s="322"/>
      <c r="D27" s="80" t="s">
        <v>7</v>
      </c>
      <c r="E27" s="255">
        <v>46106</v>
      </c>
      <c r="F27" s="255">
        <v>46106</v>
      </c>
      <c r="G27" s="43"/>
      <c r="H27" s="163">
        <v>14</v>
      </c>
      <c r="I27" s="164">
        <v>1</v>
      </c>
      <c r="J27" s="16">
        <f>I27/H27*100</f>
        <v>7.1428571428571423</v>
      </c>
      <c r="K27" s="50">
        <v>9</v>
      </c>
      <c r="L27" s="255">
        <v>46106</v>
      </c>
      <c r="M27" s="255">
        <v>46106</v>
      </c>
      <c r="N27" s="43"/>
      <c r="O27" s="266">
        <f t="shared" si="5"/>
        <v>14</v>
      </c>
      <c r="P27" s="263">
        <v>6</v>
      </c>
      <c r="Q27" s="190">
        <f t="shared" si="3"/>
        <v>42.857142857142854</v>
      </c>
      <c r="R27" s="226">
        <v>4</v>
      </c>
      <c r="S27" s="48"/>
      <c r="T27" s="48"/>
      <c r="U27" s="48"/>
      <c r="V27" s="7">
        <f t="shared" si="6"/>
        <v>14</v>
      </c>
      <c r="W27" s="94"/>
      <c r="X27" s="16">
        <f>W27/V27*100</f>
        <v>0</v>
      </c>
      <c r="Y27" s="50"/>
    </row>
    <row r="28" spans="2:25" hidden="1" x14ac:dyDescent="0.2">
      <c r="B28" s="328"/>
      <c r="C28" s="322"/>
      <c r="D28" s="80" t="s">
        <v>5</v>
      </c>
      <c r="E28" s="244">
        <v>46106</v>
      </c>
      <c r="F28" s="244">
        <v>46106</v>
      </c>
      <c r="G28" s="264"/>
      <c r="H28" s="294">
        <v>19</v>
      </c>
      <c r="I28" s="282">
        <v>6</v>
      </c>
      <c r="J28" s="17">
        <f>I28/H28*100</f>
        <v>31.578947368421051</v>
      </c>
      <c r="K28" s="51">
        <v>8</v>
      </c>
      <c r="L28" s="244">
        <v>46106</v>
      </c>
      <c r="M28" s="255">
        <v>46106</v>
      </c>
      <c r="N28" s="264"/>
      <c r="O28" s="266">
        <f t="shared" si="5"/>
        <v>19</v>
      </c>
      <c r="P28" s="267">
        <v>6</v>
      </c>
      <c r="Q28" s="191">
        <f t="shared" si="3"/>
        <v>31.578947368421051</v>
      </c>
      <c r="R28" s="228">
        <v>8</v>
      </c>
      <c r="S28" s="91"/>
      <c r="T28" s="91"/>
      <c r="U28" s="91"/>
      <c r="V28" s="8">
        <f t="shared" si="6"/>
        <v>19</v>
      </c>
      <c r="W28" s="95"/>
      <c r="X28" s="17">
        <f>W28/V28*100</f>
        <v>0</v>
      </c>
      <c r="Y28" s="51"/>
    </row>
    <row r="29" spans="2:25" ht="17" hidden="1" thickTop="1" thickBot="1" x14ac:dyDescent="0.25">
      <c r="B29" s="328"/>
      <c r="C29" s="323"/>
      <c r="D29" s="85" t="s">
        <v>156</v>
      </c>
      <c r="E29" s="187">
        <v>46106</v>
      </c>
      <c r="F29" s="98"/>
      <c r="G29" s="98"/>
      <c r="H29" s="10">
        <v>11</v>
      </c>
      <c r="I29" s="99">
        <v>2</v>
      </c>
      <c r="J29" s="18">
        <f t="shared" ref="J29:J49" si="7">I29/H29*100</f>
        <v>18.181818181818183</v>
      </c>
      <c r="K29" s="57" t="s">
        <v>185</v>
      </c>
      <c r="L29" s="168">
        <v>46120</v>
      </c>
      <c r="M29" s="10"/>
      <c r="N29" s="10"/>
      <c r="O29" s="34">
        <f>H29</f>
        <v>11</v>
      </c>
      <c r="P29" s="23">
        <v>2</v>
      </c>
      <c r="Q29" s="116">
        <f t="shared" si="3"/>
        <v>18.181818181818183</v>
      </c>
      <c r="R29" s="229" t="s">
        <v>185</v>
      </c>
      <c r="S29" s="98"/>
      <c r="T29" s="98"/>
      <c r="U29" s="98"/>
      <c r="V29" s="10">
        <f t="shared" si="6"/>
        <v>11</v>
      </c>
      <c r="W29" s="99"/>
      <c r="X29" s="18">
        <f t="shared" ref="X29:X94" si="8">W29/V29*100</f>
        <v>0</v>
      </c>
      <c r="Y29" s="208"/>
    </row>
    <row r="30" spans="2:25" ht="17" hidden="1" thickTop="1" thickBot="1" x14ac:dyDescent="0.25">
      <c r="B30" s="328"/>
      <c r="C30" s="330" t="s">
        <v>158</v>
      </c>
      <c r="D30" s="331"/>
      <c r="E30" s="331"/>
      <c r="F30" s="332"/>
      <c r="G30" s="78">
        <f>G22+G23+G24+G25+G26+G27+G28+G29</f>
        <v>0</v>
      </c>
      <c r="H30" s="67">
        <f>H22+H23+H24+H25+H26+H27+H28+H29</f>
        <v>109</v>
      </c>
      <c r="I30" s="67">
        <f>I22+I23+I24+I25+I26+I27+I28+I29</f>
        <v>19</v>
      </c>
      <c r="J30" s="100">
        <f>I30/H30*100</f>
        <v>17.431192660550458</v>
      </c>
      <c r="K30" s="78"/>
      <c r="L30" s="67"/>
      <c r="M30" s="67"/>
      <c r="N30" s="67">
        <f>SUM(N22:N29)</f>
        <v>0</v>
      </c>
      <c r="O30" s="77">
        <f>O22+O23+O24+O25+O26+O27+O28+O29</f>
        <v>109</v>
      </c>
      <c r="P30" s="67">
        <f>P22+P23+P24+P25+P26+P27+P28+P29</f>
        <v>25</v>
      </c>
      <c r="Q30" s="192">
        <f t="shared" si="3"/>
        <v>22.935779816513762</v>
      </c>
      <c r="R30" s="230"/>
      <c r="S30" s="78"/>
      <c r="T30" s="78"/>
      <c r="U30" s="78">
        <f>U22+U23+U24+U25+U26+U27+U28+U29</f>
        <v>0</v>
      </c>
      <c r="V30" s="67">
        <f>V22+V23+V24+V25+V26+V27+V28+V29</f>
        <v>109</v>
      </c>
      <c r="W30" s="71">
        <f>W22+W23+W24+W25+W26+W27+W28+W29</f>
        <v>0</v>
      </c>
      <c r="X30" s="100">
        <f t="shared" si="8"/>
        <v>0</v>
      </c>
      <c r="Y30" s="209"/>
    </row>
    <row r="31" spans="2:25" ht="15" hidden="1" customHeight="1" thickTop="1" x14ac:dyDescent="0.2">
      <c r="B31" s="328"/>
      <c r="C31" s="315" t="s">
        <v>159</v>
      </c>
      <c r="D31" s="80" t="s">
        <v>50</v>
      </c>
      <c r="E31" s="185">
        <v>46156</v>
      </c>
      <c r="F31" s="92"/>
      <c r="G31" s="92"/>
      <c r="H31" s="9">
        <v>7</v>
      </c>
      <c r="I31" s="96"/>
      <c r="J31" s="15">
        <f t="shared" si="7"/>
        <v>0</v>
      </c>
      <c r="K31" s="49"/>
      <c r="L31" s="185">
        <v>46141</v>
      </c>
      <c r="M31" s="92"/>
      <c r="N31" s="92"/>
      <c r="O31" s="33">
        <f>H31</f>
        <v>7</v>
      </c>
      <c r="P31" s="20"/>
      <c r="Q31" s="193">
        <f t="shared" si="3"/>
        <v>0</v>
      </c>
      <c r="R31" s="225"/>
      <c r="S31" s="92"/>
      <c r="T31" s="92"/>
      <c r="U31" s="92"/>
      <c r="V31" s="9">
        <f>O31</f>
        <v>7</v>
      </c>
      <c r="W31" s="96"/>
      <c r="X31" s="15">
        <f t="shared" si="8"/>
        <v>0</v>
      </c>
      <c r="Y31" s="49"/>
    </row>
    <row r="32" spans="2:25" ht="15" hidden="1" customHeight="1" x14ac:dyDescent="0.2">
      <c r="B32" s="328"/>
      <c r="C32" s="316"/>
      <c r="D32" s="80" t="s">
        <v>47</v>
      </c>
      <c r="E32" s="167">
        <v>46156</v>
      </c>
      <c r="F32" s="48"/>
      <c r="G32" s="48"/>
      <c r="H32" s="7">
        <v>11</v>
      </c>
      <c r="I32" s="94"/>
      <c r="J32" s="16">
        <f t="shared" si="7"/>
        <v>0</v>
      </c>
      <c r="K32" s="50"/>
      <c r="L32" s="167">
        <v>46141</v>
      </c>
      <c r="M32" s="48"/>
      <c r="N32" s="48"/>
      <c r="O32" s="33">
        <f t="shared" ref="O32:O48" si="9">H32</f>
        <v>11</v>
      </c>
      <c r="P32" s="21"/>
      <c r="Q32" s="190">
        <f t="shared" si="3"/>
        <v>0</v>
      </c>
      <c r="R32" s="226"/>
      <c r="S32" s="48"/>
      <c r="T32" s="48"/>
      <c r="U32" s="48"/>
      <c r="V32" s="7">
        <f t="shared" ref="V32:V49" si="10">O32</f>
        <v>11</v>
      </c>
      <c r="W32" s="94"/>
      <c r="X32" s="16">
        <f t="shared" si="8"/>
        <v>0</v>
      </c>
      <c r="Y32" s="50"/>
    </row>
    <row r="33" spans="2:25" ht="15" hidden="1" customHeight="1" x14ac:dyDescent="0.2">
      <c r="B33" s="328"/>
      <c r="C33" s="316"/>
      <c r="D33" s="80" t="s">
        <v>58</v>
      </c>
      <c r="E33" s="167">
        <v>46170</v>
      </c>
      <c r="F33" s="48"/>
      <c r="G33" s="48"/>
      <c r="H33" s="7">
        <v>10</v>
      </c>
      <c r="I33" s="94"/>
      <c r="J33" s="16">
        <f t="shared" si="7"/>
        <v>0</v>
      </c>
      <c r="K33" s="50"/>
      <c r="L33" s="167">
        <v>46148</v>
      </c>
      <c r="M33" s="48"/>
      <c r="N33" s="48"/>
      <c r="O33" s="33">
        <f t="shared" si="9"/>
        <v>10</v>
      </c>
      <c r="P33" s="21"/>
      <c r="Q33" s="190">
        <f t="shared" si="3"/>
        <v>0</v>
      </c>
      <c r="R33" s="226"/>
      <c r="S33" s="48"/>
      <c r="T33" s="48"/>
      <c r="U33" s="48"/>
      <c r="V33" s="7">
        <f t="shared" si="10"/>
        <v>10</v>
      </c>
      <c r="W33" s="94"/>
      <c r="X33" s="16">
        <f t="shared" si="8"/>
        <v>0</v>
      </c>
      <c r="Y33" s="50"/>
    </row>
    <row r="34" spans="2:25" ht="15" hidden="1" customHeight="1" x14ac:dyDescent="0.2">
      <c r="B34" s="328"/>
      <c r="C34" s="316"/>
      <c r="D34" s="80" t="s">
        <v>55</v>
      </c>
      <c r="E34" s="167">
        <v>46170</v>
      </c>
      <c r="F34" s="48"/>
      <c r="G34" s="48"/>
      <c r="H34" s="7">
        <v>9</v>
      </c>
      <c r="I34" s="94"/>
      <c r="J34" s="16">
        <f t="shared" si="7"/>
        <v>0</v>
      </c>
      <c r="K34" s="50"/>
      <c r="L34" s="167">
        <v>46141</v>
      </c>
      <c r="M34" s="48"/>
      <c r="N34" s="48"/>
      <c r="O34" s="33">
        <f t="shared" si="9"/>
        <v>9</v>
      </c>
      <c r="P34" s="21"/>
      <c r="Q34" s="190">
        <f t="shared" si="3"/>
        <v>0</v>
      </c>
      <c r="R34" s="226"/>
      <c r="S34" s="48"/>
      <c r="T34" s="48"/>
      <c r="U34" s="48"/>
      <c r="V34" s="7">
        <f t="shared" si="10"/>
        <v>9</v>
      </c>
      <c r="W34" s="94"/>
      <c r="X34" s="16">
        <f t="shared" si="8"/>
        <v>0</v>
      </c>
      <c r="Y34" s="50"/>
    </row>
    <row r="35" spans="2:25" ht="15" hidden="1" customHeight="1" x14ac:dyDescent="0.2">
      <c r="B35" s="328"/>
      <c r="C35" s="316"/>
      <c r="D35" s="80" t="s">
        <v>59</v>
      </c>
      <c r="E35" s="167">
        <v>46170</v>
      </c>
      <c r="F35" s="48"/>
      <c r="G35" s="48"/>
      <c r="H35" s="7">
        <v>8</v>
      </c>
      <c r="I35" s="94"/>
      <c r="J35" s="16">
        <f t="shared" si="7"/>
        <v>0</v>
      </c>
      <c r="K35" s="50"/>
      <c r="L35" s="167">
        <v>46148</v>
      </c>
      <c r="M35" s="48"/>
      <c r="N35" s="48"/>
      <c r="O35" s="33">
        <f t="shared" si="9"/>
        <v>8</v>
      </c>
      <c r="P35" s="21"/>
      <c r="Q35" s="190">
        <f t="shared" si="3"/>
        <v>0</v>
      </c>
      <c r="R35" s="226"/>
      <c r="S35" s="48"/>
      <c r="T35" s="48"/>
      <c r="U35" s="48"/>
      <c r="V35" s="7">
        <f t="shared" si="10"/>
        <v>8</v>
      </c>
      <c r="W35" s="94"/>
      <c r="X35" s="16">
        <f t="shared" si="8"/>
        <v>0</v>
      </c>
      <c r="Y35" s="50"/>
    </row>
    <row r="36" spans="2:25" ht="15" hidden="1" customHeight="1" x14ac:dyDescent="0.2">
      <c r="B36" s="328"/>
      <c r="C36" s="316"/>
      <c r="D36" s="80" t="s">
        <v>52</v>
      </c>
      <c r="E36" s="167">
        <v>46156</v>
      </c>
      <c r="F36" s="48"/>
      <c r="G36" s="48"/>
      <c r="H36" s="7">
        <v>12</v>
      </c>
      <c r="I36" s="94"/>
      <c r="J36" s="16">
        <f t="shared" si="7"/>
        <v>0</v>
      </c>
      <c r="K36" s="50"/>
      <c r="L36" s="167">
        <v>46141</v>
      </c>
      <c r="M36" s="48"/>
      <c r="N36" s="48"/>
      <c r="O36" s="33">
        <f t="shared" si="9"/>
        <v>12</v>
      </c>
      <c r="P36" s="21"/>
      <c r="Q36" s="190">
        <f t="shared" si="3"/>
        <v>0</v>
      </c>
      <c r="R36" s="226"/>
      <c r="S36" s="48"/>
      <c r="T36" s="48"/>
      <c r="U36" s="48"/>
      <c r="V36" s="7">
        <f t="shared" si="10"/>
        <v>12</v>
      </c>
      <c r="W36" s="94"/>
      <c r="X36" s="16">
        <f t="shared" si="8"/>
        <v>0</v>
      </c>
      <c r="Y36" s="50"/>
    </row>
    <row r="37" spans="2:25" ht="15" hidden="1" customHeight="1" x14ac:dyDescent="0.2">
      <c r="B37" s="328"/>
      <c r="C37" s="316"/>
      <c r="D37" s="6" t="s">
        <v>46</v>
      </c>
      <c r="E37" s="185">
        <v>46149</v>
      </c>
      <c r="F37" s="92"/>
      <c r="G37" s="92"/>
      <c r="H37" s="7">
        <v>11</v>
      </c>
      <c r="I37" s="96"/>
      <c r="J37" s="15">
        <f t="shared" si="7"/>
        <v>0</v>
      </c>
      <c r="K37" s="50"/>
      <c r="L37" s="185">
        <v>46127</v>
      </c>
      <c r="M37" s="92"/>
      <c r="N37" s="92"/>
      <c r="O37" s="33">
        <f t="shared" si="9"/>
        <v>11</v>
      </c>
      <c r="P37" s="20"/>
      <c r="Q37" s="190">
        <f t="shared" si="3"/>
        <v>0</v>
      </c>
      <c r="R37" s="226"/>
      <c r="S37" s="92"/>
      <c r="T37" s="92"/>
      <c r="U37" s="92"/>
      <c r="V37" s="7">
        <f t="shared" si="10"/>
        <v>11</v>
      </c>
      <c r="W37" s="96"/>
      <c r="X37" s="15">
        <f t="shared" si="8"/>
        <v>0</v>
      </c>
      <c r="Y37" s="50"/>
    </row>
    <row r="38" spans="2:25" ht="15" hidden="1" customHeight="1" x14ac:dyDescent="0.2">
      <c r="B38" s="328"/>
      <c r="C38" s="316"/>
      <c r="D38" s="80" t="s">
        <v>3</v>
      </c>
      <c r="E38" s="167">
        <v>46149</v>
      </c>
      <c r="F38" s="48"/>
      <c r="G38" s="48"/>
      <c r="H38" s="7">
        <v>10</v>
      </c>
      <c r="I38" s="94"/>
      <c r="J38" s="16">
        <f t="shared" si="7"/>
        <v>0</v>
      </c>
      <c r="K38" s="50"/>
      <c r="L38" s="167">
        <v>46127</v>
      </c>
      <c r="M38" s="48"/>
      <c r="N38" s="48"/>
      <c r="O38" s="33">
        <f t="shared" si="9"/>
        <v>10</v>
      </c>
      <c r="P38" s="21"/>
      <c r="Q38" s="190">
        <f t="shared" si="3"/>
        <v>0</v>
      </c>
      <c r="R38" s="226"/>
      <c r="S38" s="48"/>
      <c r="T38" s="48"/>
      <c r="U38" s="48"/>
      <c r="V38" s="7">
        <f t="shared" si="10"/>
        <v>10</v>
      </c>
      <c r="W38" s="94"/>
      <c r="X38" s="16">
        <f t="shared" si="8"/>
        <v>0</v>
      </c>
      <c r="Y38" s="50"/>
    </row>
    <row r="39" spans="2:25" ht="15" hidden="1" customHeight="1" x14ac:dyDescent="0.2">
      <c r="B39" s="328"/>
      <c r="C39" s="316"/>
      <c r="D39" s="80" t="s">
        <v>48</v>
      </c>
      <c r="E39" s="167">
        <v>46149</v>
      </c>
      <c r="F39" s="48"/>
      <c r="G39" s="48"/>
      <c r="H39" s="7">
        <v>12</v>
      </c>
      <c r="I39" s="94"/>
      <c r="J39" s="16">
        <f t="shared" si="7"/>
        <v>0</v>
      </c>
      <c r="K39" s="50"/>
      <c r="L39" s="167">
        <v>46127</v>
      </c>
      <c r="M39" s="48"/>
      <c r="N39" s="48"/>
      <c r="O39" s="33">
        <f t="shared" si="9"/>
        <v>12</v>
      </c>
      <c r="P39" s="21"/>
      <c r="Q39" s="190">
        <f t="shared" si="3"/>
        <v>0</v>
      </c>
      <c r="R39" s="226"/>
      <c r="S39" s="48"/>
      <c r="T39" s="48"/>
      <c r="U39" s="48"/>
      <c r="V39" s="7">
        <f t="shared" si="10"/>
        <v>12</v>
      </c>
      <c r="W39" s="94"/>
      <c r="X39" s="16">
        <f t="shared" si="8"/>
        <v>0</v>
      </c>
      <c r="Y39" s="50"/>
    </row>
    <row r="40" spans="2:25" hidden="1" x14ac:dyDescent="0.2">
      <c r="B40" s="328"/>
      <c r="C40" s="316"/>
      <c r="D40" s="80" t="s">
        <v>56</v>
      </c>
      <c r="E40" s="167">
        <v>46184</v>
      </c>
      <c r="F40" s="48"/>
      <c r="G40" s="48"/>
      <c r="H40" s="7">
        <v>9</v>
      </c>
      <c r="I40" s="94"/>
      <c r="J40" s="16">
        <f t="shared" si="7"/>
        <v>0</v>
      </c>
      <c r="K40" s="50"/>
      <c r="L40" s="167">
        <v>46162</v>
      </c>
      <c r="M40" s="48"/>
      <c r="N40" s="48"/>
      <c r="O40" s="33">
        <f t="shared" si="9"/>
        <v>9</v>
      </c>
      <c r="P40" s="21"/>
      <c r="Q40" s="190">
        <f t="shared" si="3"/>
        <v>0</v>
      </c>
      <c r="R40" s="226"/>
      <c r="S40" s="48"/>
      <c r="T40" s="48"/>
      <c r="U40" s="48"/>
      <c r="V40" s="7">
        <f t="shared" si="10"/>
        <v>9</v>
      </c>
      <c r="W40" s="94"/>
      <c r="X40" s="16">
        <f t="shared" si="8"/>
        <v>0</v>
      </c>
      <c r="Y40" s="50"/>
    </row>
    <row r="41" spans="2:25" hidden="1" x14ac:dyDescent="0.2">
      <c r="B41" s="328"/>
      <c r="C41" s="316"/>
      <c r="D41" s="80" t="s">
        <v>53</v>
      </c>
      <c r="E41" s="167">
        <v>46184</v>
      </c>
      <c r="F41" s="48"/>
      <c r="G41" s="48"/>
      <c r="H41" s="7">
        <v>11</v>
      </c>
      <c r="I41" s="94"/>
      <c r="J41" s="16">
        <f t="shared" si="7"/>
        <v>0</v>
      </c>
      <c r="K41" s="50"/>
      <c r="L41" s="167">
        <v>46162</v>
      </c>
      <c r="M41" s="48"/>
      <c r="N41" s="48"/>
      <c r="O41" s="33">
        <f t="shared" si="9"/>
        <v>11</v>
      </c>
      <c r="P41" s="21"/>
      <c r="Q41" s="190">
        <f t="shared" si="3"/>
        <v>0</v>
      </c>
      <c r="R41" s="226"/>
      <c r="S41" s="48"/>
      <c r="T41" s="48"/>
      <c r="U41" s="48"/>
      <c r="V41" s="7">
        <f t="shared" si="10"/>
        <v>11</v>
      </c>
      <c r="W41" s="94"/>
      <c r="X41" s="16">
        <f t="shared" si="8"/>
        <v>0</v>
      </c>
      <c r="Y41" s="50"/>
    </row>
    <row r="42" spans="2:25" hidden="1" x14ac:dyDescent="0.2">
      <c r="B42" s="328"/>
      <c r="C42" s="316"/>
      <c r="D42" s="80" t="s">
        <v>51</v>
      </c>
      <c r="E42" s="167">
        <v>46184</v>
      </c>
      <c r="F42" s="48"/>
      <c r="G42" s="48"/>
      <c r="H42" s="7">
        <v>12</v>
      </c>
      <c r="I42" s="94"/>
      <c r="J42" s="16">
        <f t="shared" si="7"/>
        <v>0</v>
      </c>
      <c r="K42" s="50"/>
      <c r="L42" s="167">
        <v>46162</v>
      </c>
      <c r="M42" s="48"/>
      <c r="N42" s="48"/>
      <c r="O42" s="33">
        <f t="shared" si="9"/>
        <v>12</v>
      </c>
      <c r="P42" s="21"/>
      <c r="Q42" s="190">
        <f t="shared" si="3"/>
        <v>0</v>
      </c>
      <c r="R42" s="226"/>
      <c r="S42" s="48"/>
      <c r="T42" s="48"/>
      <c r="U42" s="48"/>
      <c r="V42" s="7">
        <f t="shared" si="10"/>
        <v>12</v>
      </c>
      <c r="W42" s="94"/>
      <c r="X42" s="16">
        <f t="shared" si="8"/>
        <v>0</v>
      </c>
      <c r="Y42" s="50"/>
    </row>
    <row r="43" spans="2:25" hidden="1" x14ac:dyDescent="0.2">
      <c r="B43" s="328"/>
      <c r="C43" s="316"/>
      <c r="D43" s="81" t="s">
        <v>60</v>
      </c>
      <c r="E43" s="186">
        <v>46184</v>
      </c>
      <c r="F43" s="91"/>
      <c r="G43" s="91"/>
      <c r="H43" s="7">
        <v>10</v>
      </c>
      <c r="I43" s="95"/>
      <c r="J43" s="17">
        <f t="shared" si="7"/>
        <v>0</v>
      </c>
      <c r="K43" s="50"/>
      <c r="L43" s="167">
        <v>46162</v>
      </c>
      <c r="M43" s="48"/>
      <c r="N43" s="48"/>
      <c r="O43" s="33">
        <f t="shared" si="9"/>
        <v>10</v>
      </c>
      <c r="P43" s="22"/>
      <c r="Q43" s="190">
        <f t="shared" si="3"/>
        <v>0</v>
      </c>
      <c r="R43" s="226"/>
      <c r="S43" s="91"/>
      <c r="T43" s="91"/>
      <c r="U43" s="91"/>
      <c r="V43" s="7">
        <f t="shared" si="10"/>
        <v>10</v>
      </c>
      <c r="W43" s="95"/>
      <c r="X43" s="17">
        <f t="shared" si="8"/>
        <v>0</v>
      </c>
      <c r="Y43" s="50"/>
    </row>
    <row r="44" spans="2:25" hidden="1" x14ac:dyDescent="0.2">
      <c r="B44" s="328"/>
      <c r="C44" s="316"/>
      <c r="D44" s="80" t="s">
        <v>54</v>
      </c>
      <c r="E44" s="167">
        <v>46177</v>
      </c>
      <c r="F44" s="48"/>
      <c r="G44" s="48"/>
      <c r="H44" s="7">
        <v>8</v>
      </c>
      <c r="I44" s="94"/>
      <c r="J44" s="16">
        <f t="shared" si="7"/>
        <v>0</v>
      </c>
      <c r="K44" s="50"/>
      <c r="L44" s="167">
        <v>46148</v>
      </c>
      <c r="M44" s="48"/>
      <c r="N44" s="48"/>
      <c r="O44" s="33">
        <f t="shared" si="9"/>
        <v>8</v>
      </c>
      <c r="P44" s="21"/>
      <c r="Q44" s="190">
        <f t="shared" si="3"/>
        <v>0</v>
      </c>
      <c r="R44" s="226"/>
      <c r="S44" s="48"/>
      <c r="T44" s="48"/>
      <c r="U44" s="48"/>
      <c r="V44" s="7">
        <f t="shared" si="10"/>
        <v>8</v>
      </c>
      <c r="W44" s="94"/>
      <c r="X44" s="16">
        <f t="shared" si="8"/>
        <v>0</v>
      </c>
      <c r="Y44" s="50"/>
    </row>
    <row r="45" spans="2:25" hidden="1" x14ac:dyDescent="0.2">
      <c r="B45" s="328"/>
      <c r="C45" s="316"/>
      <c r="D45" s="80" t="s">
        <v>49</v>
      </c>
      <c r="E45" s="167">
        <v>46177</v>
      </c>
      <c r="F45" s="48"/>
      <c r="G45" s="48"/>
      <c r="H45" s="7">
        <v>12</v>
      </c>
      <c r="I45" s="94"/>
      <c r="J45" s="16">
        <f t="shared" si="7"/>
        <v>0</v>
      </c>
      <c r="K45" s="50"/>
      <c r="L45" s="167">
        <v>46148</v>
      </c>
      <c r="M45" s="48"/>
      <c r="N45" s="48"/>
      <c r="O45" s="33">
        <f t="shared" si="9"/>
        <v>12</v>
      </c>
      <c r="P45" s="21"/>
      <c r="Q45" s="190">
        <f t="shared" si="3"/>
        <v>0</v>
      </c>
      <c r="R45" s="226"/>
      <c r="S45" s="48"/>
      <c r="T45" s="48"/>
      <c r="U45" s="48"/>
      <c r="V45" s="7">
        <f t="shared" si="10"/>
        <v>12</v>
      </c>
      <c r="W45" s="94"/>
      <c r="X45" s="16">
        <f t="shared" si="8"/>
        <v>0</v>
      </c>
      <c r="Y45" s="50"/>
    </row>
    <row r="46" spans="2:25" hidden="1" x14ac:dyDescent="0.2">
      <c r="B46" s="328"/>
      <c r="C46" s="316"/>
      <c r="D46" s="80" t="s">
        <v>167</v>
      </c>
      <c r="E46" s="167">
        <v>46177</v>
      </c>
      <c r="F46" s="48"/>
      <c r="G46" s="48"/>
      <c r="H46" s="7">
        <v>21</v>
      </c>
      <c r="I46" s="94"/>
      <c r="J46" s="16">
        <f t="shared" si="7"/>
        <v>0</v>
      </c>
      <c r="K46" s="50"/>
      <c r="L46" s="167">
        <v>46155</v>
      </c>
      <c r="M46" s="48"/>
      <c r="N46" s="48"/>
      <c r="O46" s="33">
        <f t="shared" si="9"/>
        <v>21</v>
      </c>
      <c r="P46" s="21"/>
      <c r="Q46" s="190">
        <f t="shared" si="3"/>
        <v>0</v>
      </c>
      <c r="R46" s="226"/>
      <c r="S46" s="48"/>
      <c r="T46" s="48"/>
      <c r="U46" s="48"/>
      <c r="V46" s="7">
        <f t="shared" si="10"/>
        <v>21</v>
      </c>
      <c r="W46" s="94"/>
      <c r="X46" s="16">
        <f t="shared" si="8"/>
        <v>0</v>
      </c>
      <c r="Y46" s="50"/>
    </row>
    <row r="47" spans="2:25" hidden="1" x14ac:dyDescent="0.2">
      <c r="B47" s="328"/>
      <c r="C47" s="316"/>
      <c r="D47" s="80" t="s">
        <v>57</v>
      </c>
      <c r="E47" s="167">
        <v>46184</v>
      </c>
      <c r="F47" s="48"/>
      <c r="G47" s="48"/>
      <c r="H47" s="7">
        <v>11</v>
      </c>
      <c r="I47" s="94"/>
      <c r="J47" s="16">
        <f t="shared" si="7"/>
        <v>0</v>
      </c>
      <c r="K47" s="50"/>
      <c r="L47" s="167">
        <v>46155</v>
      </c>
      <c r="M47" s="48"/>
      <c r="N47" s="48"/>
      <c r="O47" s="33">
        <f t="shared" si="9"/>
        <v>11</v>
      </c>
      <c r="P47" s="21"/>
      <c r="Q47" s="190">
        <f t="shared" si="3"/>
        <v>0</v>
      </c>
      <c r="R47" s="226"/>
      <c r="S47" s="48"/>
      <c r="T47" s="48"/>
      <c r="U47" s="48"/>
      <c r="V47" s="7">
        <f t="shared" si="10"/>
        <v>11</v>
      </c>
      <c r="W47" s="94"/>
      <c r="X47" s="16">
        <f t="shared" si="8"/>
        <v>0</v>
      </c>
      <c r="Y47" s="50"/>
    </row>
    <row r="48" spans="2:25" hidden="1" x14ac:dyDescent="0.2">
      <c r="B48" s="328"/>
      <c r="C48" s="316"/>
      <c r="D48" s="81" t="s">
        <v>61</v>
      </c>
      <c r="E48" s="186">
        <v>46184</v>
      </c>
      <c r="F48" s="91"/>
      <c r="G48" s="91"/>
      <c r="H48" s="8">
        <f>A48</f>
        <v>0</v>
      </c>
      <c r="I48" s="95"/>
      <c r="J48" s="79" t="e">
        <f t="shared" si="7"/>
        <v>#DIV/0!</v>
      </c>
      <c r="K48" s="51" t="s">
        <v>168</v>
      </c>
      <c r="L48" s="186">
        <v>46155</v>
      </c>
      <c r="M48" s="91"/>
      <c r="N48" s="91"/>
      <c r="O48" s="33">
        <f t="shared" si="9"/>
        <v>0</v>
      </c>
      <c r="P48" s="22"/>
      <c r="Q48" s="194" t="e">
        <f t="shared" si="3"/>
        <v>#DIV/0!</v>
      </c>
      <c r="R48" s="228" t="s">
        <v>168</v>
      </c>
      <c r="S48" s="91"/>
      <c r="T48" s="91"/>
      <c r="U48" s="91"/>
      <c r="V48" s="8">
        <f t="shared" si="10"/>
        <v>0</v>
      </c>
      <c r="W48" s="95"/>
      <c r="X48" s="79" t="e">
        <f t="shared" si="8"/>
        <v>#DIV/0!</v>
      </c>
      <c r="Y48" s="51" t="s">
        <v>168</v>
      </c>
    </row>
    <row r="49" spans="2:25" ht="17" hidden="1" thickTop="1" thickBot="1" x14ac:dyDescent="0.25">
      <c r="B49" s="328"/>
      <c r="C49" s="316"/>
      <c r="D49" s="86" t="s">
        <v>146</v>
      </c>
      <c r="E49" s="187">
        <v>46191</v>
      </c>
      <c r="F49" s="98"/>
      <c r="G49" s="98"/>
      <c r="H49" s="10">
        <v>18</v>
      </c>
      <c r="I49" s="99"/>
      <c r="J49" s="18">
        <f t="shared" si="7"/>
        <v>0</v>
      </c>
      <c r="K49" s="57"/>
      <c r="L49" s="168">
        <v>46169</v>
      </c>
      <c r="M49" s="10"/>
      <c r="N49" s="10"/>
      <c r="O49" s="34">
        <f>H49</f>
        <v>18</v>
      </c>
      <c r="P49" s="23"/>
      <c r="Q49" s="116">
        <f t="shared" si="3"/>
        <v>0</v>
      </c>
      <c r="R49" s="229"/>
      <c r="S49" s="98"/>
      <c r="T49" s="98"/>
      <c r="U49" s="98"/>
      <c r="V49" s="10">
        <f t="shared" si="10"/>
        <v>18</v>
      </c>
      <c r="W49" s="99"/>
      <c r="X49" s="18">
        <f t="shared" si="8"/>
        <v>0</v>
      </c>
      <c r="Y49" s="208"/>
    </row>
    <row r="50" spans="2:25" ht="17" hidden="1" thickTop="1" thickBot="1" x14ac:dyDescent="0.25">
      <c r="B50" s="328"/>
      <c r="C50" s="330" t="s">
        <v>162</v>
      </c>
      <c r="D50" s="331"/>
      <c r="E50" s="331"/>
      <c r="F50" s="332"/>
      <c r="G50" s="53">
        <f>SUM(G32:G49)</f>
        <v>0</v>
      </c>
      <c r="H50" s="55">
        <f>H31+H32+H33+H34+H35+H36+H37+H38+H39+H40+H41+H42+H43+H44+H45+H46+H47+H48+H49</f>
        <v>202</v>
      </c>
      <c r="I50" s="55">
        <f>I31+I32+I33+I34+I35+I36+I37+I38+I39+I40+I41+I42+I43+I44+I45+I46+I47+I48+I49</f>
        <v>0</v>
      </c>
      <c r="J50" s="101">
        <f t="shared" ref="J50:J55" si="11">I50/H50*100</f>
        <v>0</v>
      </c>
      <c r="K50" s="102"/>
      <c r="L50" s="53"/>
      <c r="M50" s="53"/>
      <c r="N50" s="53">
        <f>N31+N32+N33+N34+N35+N36+N37+N38+N39+N40+N41+N42+N43+N44+N45+N46+N47+N48+N49</f>
        <v>0</v>
      </c>
      <c r="O50" s="54">
        <f>O31+O32+O33+O34+O35+O36+O37+O38+O39+O40+O41+O42+O43+O44+O45+O46+O47+O48+O49</f>
        <v>202</v>
      </c>
      <c r="P50" s="55">
        <f>P31+P32+P33+P34+P35+P36+P37+P38+P39+P40+P41+P42+P43+P44+P45+P46+P47+P48+P49</f>
        <v>0</v>
      </c>
      <c r="Q50" s="195">
        <f t="shared" si="3"/>
        <v>0</v>
      </c>
      <c r="R50" s="231"/>
      <c r="S50" s="53"/>
      <c r="T50" s="53"/>
      <c r="U50" s="53">
        <f>SUM(U32:U49)</f>
        <v>0</v>
      </c>
      <c r="V50" s="55">
        <f>V31+V32+V33+V34+V35+V36+V37+V38+V39+V40+V41+V42+V43+V44+V45+V46+V47+V48+V49</f>
        <v>202</v>
      </c>
      <c r="W50" s="56">
        <f>W31+W32+W33+W34+W35+W36+W37+W38+W39+W40+W41+W42+W43+W44+W45+W46+W47+W48+W49</f>
        <v>0</v>
      </c>
      <c r="X50" s="101">
        <f>W50/V50*100</f>
        <v>0</v>
      </c>
      <c r="Y50" s="102"/>
    </row>
    <row r="51" spans="2:25" ht="33" hidden="1" thickTop="1" x14ac:dyDescent="0.2">
      <c r="B51" s="328"/>
      <c r="C51" s="46" t="s">
        <v>136</v>
      </c>
      <c r="D51" s="87" t="s">
        <v>132</v>
      </c>
      <c r="E51" s="188">
        <v>46191</v>
      </c>
      <c r="F51" s="123"/>
      <c r="G51" s="123"/>
      <c r="H51" s="120">
        <v>12</v>
      </c>
      <c r="I51" s="124"/>
      <c r="J51" s="36">
        <f t="shared" si="11"/>
        <v>0</v>
      </c>
      <c r="K51" s="59"/>
      <c r="L51" s="189">
        <v>46169</v>
      </c>
      <c r="M51" s="120"/>
      <c r="N51" s="120"/>
      <c r="O51" s="121">
        <f>H51</f>
        <v>12</v>
      </c>
      <c r="P51" s="122"/>
      <c r="Q51" s="196">
        <f t="shared" si="3"/>
        <v>0</v>
      </c>
      <c r="R51" s="232"/>
      <c r="S51" s="123"/>
      <c r="T51" s="123"/>
      <c r="U51" s="123"/>
      <c r="V51" s="120">
        <f>O51</f>
        <v>12</v>
      </c>
      <c r="W51" s="124"/>
      <c r="X51" s="36">
        <f t="shared" si="8"/>
        <v>0</v>
      </c>
      <c r="Y51" s="211"/>
    </row>
    <row r="52" spans="2:25" ht="17" hidden="1" thickTop="1" thickBot="1" x14ac:dyDescent="0.25">
      <c r="B52" s="328"/>
      <c r="C52" s="330" t="s">
        <v>161</v>
      </c>
      <c r="D52" s="331"/>
      <c r="E52" s="331"/>
      <c r="F52" s="332"/>
      <c r="G52" s="30">
        <f>G51</f>
        <v>0</v>
      </c>
      <c r="H52" s="13">
        <f>H51</f>
        <v>12</v>
      </c>
      <c r="I52" s="13">
        <f>I51</f>
        <v>0</v>
      </c>
      <c r="J52" s="106">
        <f t="shared" si="11"/>
        <v>0</v>
      </c>
      <c r="K52" s="131"/>
      <c r="L52" s="30"/>
      <c r="M52" s="30"/>
      <c r="N52" s="30">
        <f>N51</f>
        <v>0</v>
      </c>
      <c r="O52" s="11">
        <f>O51</f>
        <v>12</v>
      </c>
      <c r="P52" s="11">
        <f>P51</f>
        <v>0</v>
      </c>
      <c r="Q52" s="197">
        <f t="shared" si="3"/>
        <v>0</v>
      </c>
      <c r="R52" s="233"/>
      <c r="S52" s="30"/>
      <c r="T52" s="30"/>
      <c r="U52" s="30">
        <f>U51</f>
        <v>0</v>
      </c>
      <c r="V52" s="13">
        <f>V51</f>
        <v>12</v>
      </c>
      <c r="W52" s="130">
        <f>W51</f>
        <v>0</v>
      </c>
      <c r="X52" s="106">
        <f t="shared" si="8"/>
        <v>0</v>
      </c>
      <c r="Y52" s="131"/>
    </row>
    <row r="53" spans="2:25" ht="33" hidden="1" thickBot="1" x14ac:dyDescent="0.25">
      <c r="B53" s="328"/>
      <c r="C53" s="46" t="s">
        <v>169</v>
      </c>
      <c r="D53" s="87" t="s">
        <v>132</v>
      </c>
      <c r="E53" s="128"/>
      <c r="F53" s="128"/>
      <c r="G53" s="128"/>
      <c r="H53" s="125">
        <v>11</v>
      </c>
      <c r="I53" s="129">
        <v>1</v>
      </c>
      <c r="J53" s="64">
        <f t="shared" si="11"/>
        <v>9.0909090909090917</v>
      </c>
      <c r="K53" s="65"/>
      <c r="L53" s="125"/>
      <c r="M53" s="125"/>
      <c r="N53" s="125"/>
      <c r="O53" s="126">
        <f>H53</f>
        <v>11</v>
      </c>
      <c r="P53" s="127"/>
      <c r="Q53" s="198">
        <f>P53/O53*100</f>
        <v>0</v>
      </c>
      <c r="R53" s="234"/>
      <c r="S53" s="128"/>
      <c r="T53" s="128"/>
      <c r="U53" s="128"/>
      <c r="V53" s="125">
        <f>O53</f>
        <v>11</v>
      </c>
      <c r="W53" s="129"/>
      <c r="X53" s="64">
        <f>W53/V53*100</f>
        <v>0</v>
      </c>
      <c r="Y53" s="213"/>
    </row>
    <row r="54" spans="2:25" ht="17" hidden="1" thickTop="1" thickBot="1" x14ac:dyDescent="0.25">
      <c r="B54" s="329"/>
      <c r="C54" s="330" t="s">
        <v>175</v>
      </c>
      <c r="D54" s="331"/>
      <c r="E54" s="331"/>
      <c r="F54" s="332"/>
      <c r="G54" s="53">
        <f>G53</f>
        <v>0</v>
      </c>
      <c r="H54" s="55">
        <f>H53</f>
        <v>11</v>
      </c>
      <c r="I54" s="55">
        <f>I53</f>
        <v>1</v>
      </c>
      <c r="J54" s="101">
        <f t="shared" si="11"/>
        <v>9.0909090909090917</v>
      </c>
      <c r="K54" s="102"/>
      <c r="L54" s="53"/>
      <c r="M54" s="53"/>
      <c r="N54" s="53">
        <f>N53</f>
        <v>0</v>
      </c>
      <c r="O54" s="54">
        <f>O53</f>
        <v>11</v>
      </c>
      <c r="P54" s="54">
        <f>P53</f>
        <v>0</v>
      </c>
      <c r="Q54" s="195">
        <f>P54/O54*100</f>
        <v>0</v>
      </c>
      <c r="R54" s="231"/>
      <c r="S54" s="53"/>
      <c r="T54" s="53"/>
      <c r="U54" s="53">
        <f>U53</f>
        <v>0</v>
      </c>
      <c r="V54" s="55">
        <f>V53</f>
        <v>11</v>
      </c>
      <c r="W54" s="103">
        <f>W53</f>
        <v>0</v>
      </c>
      <c r="X54" s="101">
        <f>W54/V54*100</f>
        <v>0</v>
      </c>
      <c r="Y54" s="102"/>
    </row>
    <row r="55" spans="2:25" ht="17" hidden="1" thickTop="1" thickBot="1" x14ac:dyDescent="0.25">
      <c r="B55" s="324" t="s">
        <v>141</v>
      </c>
      <c r="C55" s="325"/>
      <c r="D55" s="326"/>
      <c r="E55" s="37">
        <f>D54+E52+E50+E30+E21</f>
        <v>0</v>
      </c>
      <c r="F55" s="37">
        <f>F54+F52+F50+F30+F21</f>
        <v>0</v>
      </c>
      <c r="G55" s="37">
        <f>G54+G52+G50+G30+G21</f>
        <v>11</v>
      </c>
      <c r="H55" s="37">
        <f>H54+H52+H50+H30+H21</f>
        <v>669</v>
      </c>
      <c r="I55" s="37">
        <f>I54+I52+I50+I30+I21</f>
        <v>221</v>
      </c>
      <c r="J55" s="37">
        <f t="shared" si="11"/>
        <v>33.034379671150973</v>
      </c>
      <c r="K55" s="37"/>
      <c r="L55" s="37"/>
      <c r="M55" s="37"/>
      <c r="N55" s="37">
        <f>N54+N52+N50+N30+N21</f>
        <v>10</v>
      </c>
      <c r="O55" s="37">
        <f>O54+O52+O50+O30+O21</f>
        <v>669</v>
      </c>
      <c r="P55" s="37">
        <f>P54+P52+P50+P30+P21</f>
        <v>217</v>
      </c>
      <c r="Q55" s="182">
        <f>P55/O55*100</f>
        <v>32.436472346786246</v>
      </c>
      <c r="R55" s="235"/>
      <c r="S55" s="37"/>
      <c r="T55" s="37"/>
      <c r="U55" s="37">
        <f>U54+U52+U50+U30+U21</f>
        <v>0</v>
      </c>
      <c r="V55" s="37">
        <f>V54+V52+V50+V30+V21</f>
        <v>669</v>
      </c>
      <c r="W55" s="37">
        <f>W54+W52+W50+W30+W21</f>
        <v>0</v>
      </c>
      <c r="X55" s="37">
        <f>X54+X52+X50+X30+X21</f>
        <v>0</v>
      </c>
      <c r="Y55" s="214"/>
    </row>
    <row r="56" spans="2:25" ht="16" hidden="1" thickTop="1" x14ac:dyDescent="0.2">
      <c r="B56" s="350" t="s">
        <v>11</v>
      </c>
      <c r="C56" s="312" t="s">
        <v>137</v>
      </c>
      <c r="D56" s="88" t="s">
        <v>10</v>
      </c>
      <c r="E56" s="269">
        <v>46057</v>
      </c>
      <c r="F56" s="269">
        <v>46057</v>
      </c>
      <c r="G56" s="270"/>
      <c r="H56" s="165">
        <v>15</v>
      </c>
      <c r="I56" s="271">
        <v>6</v>
      </c>
      <c r="J56" s="26">
        <f t="shared" ref="J56:J74" si="12">I56/H56*100</f>
        <v>40</v>
      </c>
      <c r="K56" s="49">
        <v>5</v>
      </c>
      <c r="L56" s="93"/>
      <c r="M56" s="93"/>
      <c r="N56" s="93"/>
      <c r="O56" s="236">
        <f>H56</f>
        <v>15</v>
      </c>
      <c r="P56" s="27"/>
      <c r="Q56" s="199">
        <f>P56/O56*100</f>
        <v>0</v>
      </c>
      <c r="R56" s="225"/>
      <c r="S56" s="93"/>
      <c r="T56" s="93"/>
      <c r="U56" s="93"/>
      <c r="V56" s="9">
        <f>O56</f>
        <v>15</v>
      </c>
      <c r="W56" s="97"/>
      <c r="X56" s="26">
        <f t="shared" si="8"/>
        <v>0</v>
      </c>
      <c r="Y56" s="49"/>
    </row>
    <row r="57" spans="2:25" hidden="1" x14ac:dyDescent="0.2">
      <c r="B57" s="350"/>
      <c r="C57" s="312"/>
      <c r="D57" s="80" t="s">
        <v>1</v>
      </c>
      <c r="E57" s="167"/>
      <c r="F57" s="48"/>
      <c r="G57" s="48"/>
      <c r="H57" s="7">
        <v>11</v>
      </c>
      <c r="I57" s="104">
        <v>3</v>
      </c>
      <c r="J57" s="29">
        <f t="shared" si="12"/>
        <v>27.27272727272727</v>
      </c>
      <c r="K57" s="50"/>
      <c r="L57" s="48"/>
      <c r="M57" s="48"/>
      <c r="N57" s="48"/>
      <c r="O57" s="24">
        <f t="shared" ref="O57:O73" si="13">H57</f>
        <v>11</v>
      </c>
      <c r="P57" s="35"/>
      <c r="Q57" s="200">
        <f t="shared" ref="Q57:Q75" si="14">P57/O57*100</f>
        <v>0</v>
      </c>
      <c r="R57" s="226"/>
      <c r="S57" s="48"/>
      <c r="T57" s="48"/>
      <c r="U57" s="48"/>
      <c r="V57" s="7">
        <f t="shared" ref="V57:V74" si="15">O57</f>
        <v>11</v>
      </c>
      <c r="W57" s="104"/>
      <c r="X57" s="29">
        <f t="shared" si="8"/>
        <v>0</v>
      </c>
      <c r="Y57" s="50"/>
    </row>
    <row r="58" spans="2:25" hidden="1" x14ac:dyDescent="0.2">
      <c r="B58" s="350"/>
      <c r="C58" s="312"/>
      <c r="D58" s="80" t="s">
        <v>67</v>
      </c>
      <c r="E58" s="48"/>
      <c r="F58" s="48"/>
      <c r="G58" s="48"/>
      <c r="H58" s="7">
        <v>8</v>
      </c>
      <c r="I58" s="104"/>
      <c r="J58" s="29">
        <f t="shared" si="12"/>
        <v>0</v>
      </c>
      <c r="K58" s="50"/>
      <c r="L58" s="48"/>
      <c r="M58" s="48"/>
      <c r="N58" s="48"/>
      <c r="O58" s="24">
        <f t="shared" si="13"/>
        <v>8</v>
      </c>
      <c r="P58" s="35"/>
      <c r="Q58" s="200">
        <f t="shared" si="14"/>
        <v>0</v>
      </c>
      <c r="R58" s="226"/>
      <c r="S58" s="48"/>
      <c r="T58" s="48"/>
      <c r="U58" s="48"/>
      <c r="V58" s="7">
        <f t="shared" si="15"/>
        <v>8</v>
      </c>
      <c r="W58" s="104"/>
      <c r="X58" s="29">
        <f t="shared" si="8"/>
        <v>0</v>
      </c>
      <c r="Y58" s="50"/>
    </row>
    <row r="59" spans="2:25" hidden="1" x14ac:dyDescent="0.2">
      <c r="B59" s="350"/>
      <c r="C59" s="312"/>
      <c r="D59" s="80" t="s">
        <v>62</v>
      </c>
      <c r="E59" s="159">
        <v>46069</v>
      </c>
      <c r="F59" s="159">
        <v>46069</v>
      </c>
      <c r="G59" s="178">
        <v>1</v>
      </c>
      <c r="H59" s="181">
        <v>10</v>
      </c>
      <c r="I59" s="268">
        <v>7</v>
      </c>
      <c r="J59" s="29">
        <f t="shared" si="12"/>
        <v>70</v>
      </c>
      <c r="K59" s="50"/>
      <c r="L59" s="48"/>
      <c r="M59" s="48"/>
      <c r="N59" s="48"/>
      <c r="O59" s="24">
        <f t="shared" si="13"/>
        <v>10</v>
      </c>
      <c r="P59" s="35"/>
      <c r="Q59" s="200">
        <f t="shared" si="14"/>
        <v>0</v>
      </c>
      <c r="R59" s="226"/>
      <c r="S59" s="48"/>
      <c r="T59" s="48"/>
      <c r="U59" s="48"/>
      <c r="V59" s="7">
        <f t="shared" si="15"/>
        <v>10</v>
      </c>
      <c r="W59" s="104"/>
      <c r="X59" s="29">
        <f t="shared" si="8"/>
        <v>0</v>
      </c>
      <c r="Y59" s="50"/>
    </row>
    <row r="60" spans="2:25" hidden="1" x14ac:dyDescent="0.2">
      <c r="B60" s="350"/>
      <c r="C60" s="312"/>
      <c r="D60" s="80" t="s">
        <v>65</v>
      </c>
      <c r="E60" s="159">
        <v>46069</v>
      </c>
      <c r="F60" s="159">
        <v>46069</v>
      </c>
      <c r="G60" s="178">
        <v>1</v>
      </c>
      <c r="H60" s="181">
        <v>8</v>
      </c>
      <c r="I60" s="268">
        <v>6</v>
      </c>
      <c r="J60" s="29">
        <f t="shared" si="12"/>
        <v>75</v>
      </c>
      <c r="K60" s="50"/>
      <c r="L60" s="48"/>
      <c r="M60" s="48"/>
      <c r="N60" s="48"/>
      <c r="O60" s="24">
        <f t="shared" si="13"/>
        <v>8</v>
      </c>
      <c r="P60" s="35"/>
      <c r="Q60" s="200">
        <f t="shared" si="14"/>
        <v>0</v>
      </c>
      <c r="R60" s="226"/>
      <c r="S60" s="48"/>
      <c r="T60" s="48"/>
      <c r="U60" s="48"/>
      <c r="V60" s="7">
        <f t="shared" si="15"/>
        <v>8</v>
      </c>
      <c r="W60" s="104"/>
      <c r="X60" s="29">
        <f t="shared" si="8"/>
        <v>0</v>
      </c>
      <c r="Y60" s="50"/>
    </row>
    <row r="61" spans="2:25" hidden="1" x14ac:dyDescent="0.2">
      <c r="B61" s="350"/>
      <c r="C61" s="312"/>
      <c r="D61" s="80" t="s">
        <v>66</v>
      </c>
      <c r="E61" s="159">
        <v>46069</v>
      </c>
      <c r="F61" s="159">
        <v>46069</v>
      </c>
      <c r="G61" s="178">
        <v>1</v>
      </c>
      <c r="H61" s="181">
        <v>7</v>
      </c>
      <c r="I61" s="268">
        <v>7</v>
      </c>
      <c r="J61" s="29">
        <f t="shared" si="12"/>
        <v>100</v>
      </c>
      <c r="K61" s="50"/>
      <c r="L61" s="48"/>
      <c r="M61" s="48"/>
      <c r="N61" s="48"/>
      <c r="O61" s="24">
        <f t="shared" si="13"/>
        <v>7</v>
      </c>
      <c r="P61" s="35"/>
      <c r="Q61" s="200">
        <f t="shared" si="14"/>
        <v>0</v>
      </c>
      <c r="R61" s="226"/>
      <c r="S61" s="48"/>
      <c r="T61" s="48"/>
      <c r="U61" s="48"/>
      <c r="V61" s="7">
        <f t="shared" si="15"/>
        <v>7</v>
      </c>
      <c r="W61" s="104"/>
      <c r="X61" s="29">
        <f t="shared" si="8"/>
        <v>0</v>
      </c>
      <c r="Y61" s="50"/>
    </row>
    <row r="62" spans="2:25" hidden="1" x14ac:dyDescent="0.2">
      <c r="B62" s="350"/>
      <c r="C62" s="312"/>
      <c r="D62" s="80" t="s">
        <v>68</v>
      </c>
      <c r="E62" s="255">
        <v>46079</v>
      </c>
      <c r="F62" s="255">
        <v>46079</v>
      </c>
      <c r="G62" s="43"/>
      <c r="H62" s="163">
        <v>7</v>
      </c>
      <c r="I62" s="273">
        <v>4</v>
      </c>
      <c r="J62" s="29">
        <f t="shared" si="12"/>
        <v>57.142857142857139</v>
      </c>
      <c r="K62" s="50">
        <v>2</v>
      </c>
      <c r="L62" s="48"/>
      <c r="M62" s="48"/>
      <c r="N62" s="48"/>
      <c r="O62" s="24">
        <f t="shared" si="13"/>
        <v>7</v>
      </c>
      <c r="P62" s="35"/>
      <c r="Q62" s="200">
        <f t="shared" si="14"/>
        <v>0</v>
      </c>
      <c r="R62" s="226"/>
      <c r="S62" s="48"/>
      <c r="T62" s="48"/>
      <c r="U62" s="48"/>
      <c r="V62" s="7">
        <f t="shared" si="15"/>
        <v>7</v>
      </c>
      <c r="W62" s="104"/>
      <c r="X62" s="29">
        <f t="shared" si="8"/>
        <v>0</v>
      </c>
      <c r="Y62" s="50"/>
    </row>
    <row r="63" spans="2:25" hidden="1" x14ac:dyDescent="0.2">
      <c r="B63" s="350"/>
      <c r="C63" s="312"/>
      <c r="D63" s="80" t="s">
        <v>63</v>
      </c>
      <c r="E63" s="255">
        <v>46079</v>
      </c>
      <c r="F63" s="255">
        <v>46079</v>
      </c>
      <c r="G63" s="43"/>
      <c r="H63" s="163">
        <v>12</v>
      </c>
      <c r="I63" s="273">
        <v>6</v>
      </c>
      <c r="J63" s="29">
        <f t="shared" si="12"/>
        <v>50</v>
      </c>
      <c r="K63" s="50">
        <v>3</v>
      </c>
      <c r="L63" s="48"/>
      <c r="M63" s="48"/>
      <c r="N63" s="48"/>
      <c r="O63" s="24">
        <f t="shared" si="13"/>
        <v>12</v>
      </c>
      <c r="P63" s="35"/>
      <c r="Q63" s="200">
        <f t="shared" si="14"/>
        <v>0</v>
      </c>
      <c r="R63" s="226"/>
      <c r="S63" s="48"/>
      <c r="T63" s="48"/>
      <c r="U63" s="48"/>
      <c r="V63" s="7">
        <f t="shared" si="15"/>
        <v>12</v>
      </c>
      <c r="W63" s="104"/>
      <c r="X63" s="29">
        <f t="shared" si="8"/>
        <v>0</v>
      </c>
      <c r="Y63" s="50"/>
    </row>
    <row r="64" spans="2:25" hidden="1" x14ac:dyDescent="0.2">
      <c r="B64" s="350"/>
      <c r="C64" s="312"/>
      <c r="D64" s="80" t="s">
        <v>69</v>
      </c>
      <c r="E64" s="255">
        <v>46079</v>
      </c>
      <c r="F64" s="255">
        <v>46079</v>
      </c>
      <c r="G64" s="43"/>
      <c r="H64" s="163">
        <v>6</v>
      </c>
      <c r="I64" s="273">
        <v>3</v>
      </c>
      <c r="J64" s="29">
        <f t="shared" si="12"/>
        <v>50</v>
      </c>
      <c r="K64" s="50">
        <v>2</v>
      </c>
      <c r="L64" s="48"/>
      <c r="M64" s="48"/>
      <c r="N64" s="48"/>
      <c r="O64" s="24">
        <f t="shared" si="13"/>
        <v>6</v>
      </c>
      <c r="P64" s="35"/>
      <c r="Q64" s="200">
        <f t="shared" si="14"/>
        <v>0</v>
      </c>
      <c r="R64" s="226"/>
      <c r="S64" s="48"/>
      <c r="T64" s="48"/>
      <c r="U64" s="48"/>
      <c r="V64" s="7">
        <f t="shared" si="15"/>
        <v>6</v>
      </c>
      <c r="W64" s="104"/>
      <c r="X64" s="29">
        <f t="shared" si="8"/>
        <v>0</v>
      </c>
      <c r="Y64" s="50"/>
    </row>
    <row r="65" spans="2:25" x14ac:dyDescent="0.2">
      <c r="B65" s="350"/>
      <c r="C65" s="313"/>
      <c r="D65" s="80" t="s">
        <v>12</v>
      </c>
      <c r="E65" s="167">
        <v>46127</v>
      </c>
      <c r="F65" s="48"/>
      <c r="G65" s="48"/>
      <c r="H65" s="7">
        <v>9</v>
      </c>
      <c r="I65" s="104">
        <v>3</v>
      </c>
      <c r="J65" s="29">
        <f t="shared" si="12"/>
        <v>33.333333333333329</v>
      </c>
      <c r="K65" s="50"/>
      <c r="L65" s="48"/>
      <c r="M65" s="48"/>
      <c r="N65" s="48"/>
      <c r="O65" s="24">
        <f t="shared" si="13"/>
        <v>9</v>
      </c>
      <c r="P65" s="35"/>
      <c r="Q65" s="200">
        <f t="shared" si="14"/>
        <v>0</v>
      </c>
      <c r="R65" s="226"/>
      <c r="S65" s="48"/>
      <c r="T65" s="48"/>
      <c r="U65" s="48"/>
      <c r="V65" s="7">
        <f t="shared" si="15"/>
        <v>9</v>
      </c>
      <c r="W65" s="104"/>
      <c r="X65" s="29">
        <f t="shared" si="8"/>
        <v>0</v>
      </c>
      <c r="Y65" s="50"/>
    </row>
    <row r="66" spans="2:25" x14ac:dyDescent="0.2">
      <c r="B66" s="350"/>
      <c r="C66" s="313"/>
      <c r="D66" s="80" t="s">
        <v>22</v>
      </c>
      <c r="E66" s="167">
        <v>46127</v>
      </c>
      <c r="F66" s="48"/>
      <c r="G66" s="48"/>
      <c r="H66" s="7">
        <v>14</v>
      </c>
      <c r="I66" s="104">
        <v>1</v>
      </c>
      <c r="J66" s="29">
        <f t="shared" si="12"/>
        <v>7.1428571428571423</v>
      </c>
      <c r="K66" s="50"/>
      <c r="L66" s="48"/>
      <c r="M66" s="48"/>
      <c r="N66" s="48"/>
      <c r="O66" s="24">
        <f t="shared" si="13"/>
        <v>14</v>
      </c>
      <c r="P66" s="35"/>
      <c r="Q66" s="200">
        <f t="shared" si="14"/>
        <v>0</v>
      </c>
      <c r="R66" s="226"/>
      <c r="S66" s="48"/>
      <c r="T66" s="48"/>
      <c r="U66" s="48"/>
      <c r="V66" s="7">
        <f t="shared" si="15"/>
        <v>14</v>
      </c>
      <c r="W66" s="104"/>
      <c r="X66" s="29">
        <f t="shared" si="8"/>
        <v>0</v>
      </c>
      <c r="Y66" s="50"/>
    </row>
    <row r="67" spans="2:25" hidden="1" x14ac:dyDescent="0.2">
      <c r="B67" s="350"/>
      <c r="C67" s="313"/>
      <c r="D67" s="81" t="s">
        <v>64</v>
      </c>
      <c r="E67" s="178" t="s">
        <v>184</v>
      </c>
      <c r="F67" s="178" t="s">
        <v>184</v>
      </c>
      <c r="G67" s="178">
        <v>1</v>
      </c>
      <c r="H67" s="181">
        <v>7</v>
      </c>
      <c r="I67" s="268">
        <v>5</v>
      </c>
      <c r="J67" s="29">
        <f t="shared" si="12"/>
        <v>71.428571428571431</v>
      </c>
      <c r="K67" s="50"/>
      <c r="L67" s="48"/>
      <c r="M67" s="48"/>
      <c r="N67" s="48"/>
      <c r="O67" s="24">
        <f>H67</f>
        <v>7</v>
      </c>
      <c r="P67" s="35"/>
      <c r="Q67" s="200">
        <f t="shared" si="14"/>
        <v>0</v>
      </c>
      <c r="R67" s="226"/>
      <c r="S67" s="48"/>
      <c r="T67" s="48"/>
      <c r="U67" s="48"/>
      <c r="V67" s="7">
        <f t="shared" si="15"/>
        <v>7</v>
      </c>
      <c r="W67" s="104"/>
      <c r="X67" s="29">
        <f t="shared" si="8"/>
        <v>0</v>
      </c>
      <c r="Y67" s="50"/>
    </row>
    <row r="68" spans="2:25" hidden="1" x14ac:dyDescent="0.2">
      <c r="B68" s="350"/>
      <c r="C68" s="313"/>
      <c r="D68" s="80" t="s">
        <v>11</v>
      </c>
      <c r="E68" s="159">
        <v>46052</v>
      </c>
      <c r="F68" s="159">
        <v>46052</v>
      </c>
      <c r="G68" s="178">
        <v>1</v>
      </c>
      <c r="H68" s="181">
        <v>12</v>
      </c>
      <c r="I68" s="268">
        <v>11</v>
      </c>
      <c r="J68" s="29">
        <f t="shared" si="12"/>
        <v>91.666666666666657</v>
      </c>
      <c r="K68" s="50"/>
      <c r="L68" s="48"/>
      <c r="M68" s="48"/>
      <c r="N68" s="48"/>
      <c r="O68" s="24">
        <f t="shared" si="13"/>
        <v>12</v>
      </c>
      <c r="P68" s="35"/>
      <c r="Q68" s="200">
        <f t="shared" si="14"/>
        <v>0</v>
      </c>
      <c r="R68" s="226"/>
      <c r="S68" s="48"/>
      <c r="T68" s="48"/>
      <c r="U68" s="48"/>
      <c r="V68" s="7">
        <f t="shared" si="15"/>
        <v>12</v>
      </c>
      <c r="W68" s="104"/>
      <c r="X68" s="29">
        <f t="shared" si="8"/>
        <v>0</v>
      </c>
      <c r="Y68" s="50"/>
    </row>
    <row r="69" spans="2:25" ht="16" hidden="1" thickTop="1" x14ac:dyDescent="0.2">
      <c r="B69" s="350"/>
      <c r="C69" s="313"/>
      <c r="D69" s="89" t="s">
        <v>126</v>
      </c>
      <c r="E69" s="167">
        <v>46167</v>
      </c>
      <c r="F69" s="48"/>
      <c r="G69" s="48"/>
      <c r="H69" s="7">
        <v>28</v>
      </c>
      <c r="I69" s="104">
        <v>5</v>
      </c>
      <c r="J69" s="29">
        <f t="shared" si="12"/>
        <v>17.857142857142858</v>
      </c>
      <c r="K69" s="50"/>
      <c r="L69" s="48"/>
      <c r="M69" s="48"/>
      <c r="N69" s="48"/>
      <c r="O69" s="24">
        <f t="shared" si="13"/>
        <v>28</v>
      </c>
      <c r="P69" s="35"/>
      <c r="Q69" s="200">
        <f t="shared" si="14"/>
        <v>0</v>
      </c>
      <c r="R69" s="226"/>
      <c r="S69" s="48"/>
      <c r="T69" s="48"/>
      <c r="U69" s="48"/>
      <c r="V69" s="7">
        <f>O69</f>
        <v>28</v>
      </c>
      <c r="W69" s="104"/>
      <c r="X69" s="29">
        <f t="shared" si="8"/>
        <v>0</v>
      </c>
      <c r="Y69" s="50"/>
    </row>
    <row r="70" spans="2:25" hidden="1" x14ac:dyDescent="0.2">
      <c r="B70" s="350"/>
      <c r="C70" s="313"/>
      <c r="D70" s="83" t="s">
        <v>127</v>
      </c>
      <c r="E70" s="48"/>
      <c r="F70" s="48"/>
      <c r="G70" s="48"/>
      <c r="H70" s="7">
        <v>33</v>
      </c>
      <c r="I70" s="104">
        <v>1</v>
      </c>
      <c r="J70" s="29">
        <f t="shared" si="12"/>
        <v>3.0303030303030303</v>
      </c>
      <c r="K70" s="50"/>
      <c r="L70" s="48"/>
      <c r="M70" s="48"/>
      <c r="N70" s="48"/>
      <c r="O70" s="24">
        <f t="shared" si="13"/>
        <v>33</v>
      </c>
      <c r="P70" s="35"/>
      <c r="Q70" s="200">
        <f t="shared" si="14"/>
        <v>0</v>
      </c>
      <c r="R70" s="226"/>
      <c r="S70" s="48"/>
      <c r="T70" s="48"/>
      <c r="U70" s="48"/>
      <c r="V70" s="7">
        <f t="shared" si="15"/>
        <v>33</v>
      </c>
      <c r="W70" s="104"/>
      <c r="X70" s="29">
        <f t="shared" si="8"/>
        <v>0</v>
      </c>
      <c r="Y70" s="50"/>
    </row>
    <row r="71" spans="2:25" hidden="1" x14ac:dyDescent="0.2">
      <c r="B71" s="350"/>
      <c r="C71" s="313"/>
      <c r="D71" s="83" t="s">
        <v>131</v>
      </c>
      <c r="E71" s="48"/>
      <c r="F71" s="48"/>
      <c r="G71" s="48"/>
      <c r="H71" s="7">
        <v>30</v>
      </c>
      <c r="I71" s="104">
        <v>2</v>
      </c>
      <c r="J71" s="29">
        <f t="shared" si="12"/>
        <v>6.666666666666667</v>
      </c>
      <c r="K71" s="50"/>
      <c r="L71" s="48"/>
      <c r="M71" s="48"/>
      <c r="N71" s="48"/>
      <c r="O71" s="24">
        <f t="shared" si="13"/>
        <v>30</v>
      </c>
      <c r="P71" s="35"/>
      <c r="Q71" s="200">
        <f t="shared" si="14"/>
        <v>0</v>
      </c>
      <c r="R71" s="226"/>
      <c r="S71" s="48"/>
      <c r="T71" s="48"/>
      <c r="U71" s="48"/>
      <c r="V71" s="7">
        <f t="shared" si="15"/>
        <v>30</v>
      </c>
      <c r="W71" s="104"/>
      <c r="X71" s="29">
        <f t="shared" si="8"/>
        <v>0</v>
      </c>
      <c r="Y71" s="50"/>
    </row>
    <row r="72" spans="2:25" hidden="1" x14ac:dyDescent="0.2">
      <c r="B72" s="350"/>
      <c r="C72" s="313"/>
      <c r="D72" s="84" t="s">
        <v>129</v>
      </c>
      <c r="E72" s="48"/>
      <c r="F72" s="48"/>
      <c r="G72" s="48"/>
      <c r="H72" s="7">
        <v>19</v>
      </c>
      <c r="I72" s="104"/>
      <c r="J72" s="29">
        <f t="shared" si="12"/>
        <v>0</v>
      </c>
      <c r="K72" s="50"/>
      <c r="L72" s="48"/>
      <c r="M72" s="48"/>
      <c r="N72" s="48"/>
      <c r="O72" s="24">
        <f t="shared" si="13"/>
        <v>19</v>
      </c>
      <c r="P72" s="35"/>
      <c r="Q72" s="200">
        <f t="shared" si="14"/>
        <v>0</v>
      </c>
      <c r="R72" s="226"/>
      <c r="S72" s="48"/>
      <c r="T72" s="48"/>
      <c r="U72" s="48"/>
      <c r="V72" s="7">
        <f t="shared" si="15"/>
        <v>19</v>
      </c>
      <c r="W72" s="104"/>
      <c r="X72" s="29">
        <f t="shared" si="8"/>
        <v>0</v>
      </c>
      <c r="Y72" s="50"/>
    </row>
    <row r="73" spans="2:25" ht="16" hidden="1" thickBot="1" x14ac:dyDescent="0.25">
      <c r="B73" s="350"/>
      <c r="C73" s="313"/>
      <c r="D73" s="83" t="s">
        <v>128</v>
      </c>
      <c r="E73" s="91"/>
      <c r="F73" s="91"/>
      <c r="G73" s="91"/>
      <c r="H73" s="8">
        <v>32</v>
      </c>
      <c r="I73" s="105">
        <v>3</v>
      </c>
      <c r="J73" s="52">
        <f t="shared" si="12"/>
        <v>9.375</v>
      </c>
      <c r="K73" s="51"/>
      <c r="L73" s="277">
        <v>46082</v>
      </c>
      <c r="M73" s="91"/>
      <c r="N73" s="91"/>
      <c r="O73" s="237">
        <f t="shared" si="13"/>
        <v>32</v>
      </c>
      <c r="P73" s="107"/>
      <c r="Q73" s="201">
        <f t="shared" si="14"/>
        <v>0</v>
      </c>
      <c r="R73" s="228"/>
      <c r="S73" s="91"/>
      <c r="T73" s="91"/>
      <c r="U73" s="91"/>
      <c r="V73" s="8">
        <f t="shared" si="15"/>
        <v>32</v>
      </c>
      <c r="W73" s="105"/>
      <c r="X73" s="52">
        <f t="shared" si="8"/>
        <v>0</v>
      </c>
      <c r="Y73" s="51"/>
    </row>
    <row r="74" spans="2:25" ht="17" hidden="1" thickTop="1" thickBot="1" x14ac:dyDescent="0.25">
      <c r="B74" s="350"/>
      <c r="C74" s="314"/>
      <c r="D74" s="86" t="s">
        <v>132</v>
      </c>
      <c r="E74" s="259"/>
      <c r="F74" s="259"/>
      <c r="G74" s="259"/>
      <c r="H74" s="260">
        <v>24</v>
      </c>
      <c r="I74" s="261">
        <v>9</v>
      </c>
      <c r="J74" s="18">
        <f t="shared" si="12"/>
        <v>37.5</v>
      </c>
      <c r="K74" s="57"/>
      <c r="L74" s="10"/>
      <c r="M74" s="10"/>
      <c r="N74" s="10"/>
      <c r="O74" s="34">
        <f>H74</f>
        <v>24</v>
      </c>
      <c r="P74" s="23"/>
      <c r="Q74" s="116">
        <f t="shared" si="14"/>
        <v>0</v>
      </c>
      <c r="R74" s="229"/>
      <c r="S74" s="98"/>
      <c r="T74" s="98"/>
      <c r="U74" s="98"/>
      <c r="V74" s="10">
        <f t="shared" si="15"/>
        <v>24</v>
      </c>
      <c r="W74" s="99"/>
      <c r="X74" s="18">
        <f t="shared" si="8"/>
        <v>0</v>
      </c>
      <c r="Y74" s="208"/>
    </row>
    <row r="75" spans="2:25" ht="17" hidden="1" thickTop="1" thickBot="1" x14ac:dyDescent="0.25">
      <c r="B75" s="351"/>
      <c r="C75" s="333" t="s">
        <v>176</v>
      </c>
      <c r="D75" s="331"/>
      <c r="E75" s="331"/>
      <c r="F75" s="332"/>
      <c r="G75" s="78">
        <f>G56+G57+G58+G59+G60+G61+G62+G63+G64+G65+G66+G67+G68+G69+G70+G71+G72+G73+G74</f>
        <v>5</v>
      </c>
      <c r="H75" s="67">
        <f>H56+H57+H58+H59+H60+H61+H62+H63+H64+H65+H66+H67+H68+H69+H70+H71+H72+H73+H74</f>
        <v>292</v>
      </c>
      <c r="I75" s="67">
        <f>I56+I57+I58+I59+I60+I61+I62+I63+I64+I65+I66+I67+I68+I69+I70+I71+I72+I73+I74</f>
        <v>82</v>
      </c>
      <c r="J75" s="64">
        <f>I75/H75*100</f>
        <v>28.082191780821919</v>
      </c>
      <c r="K75" s="65"/>
      <c r="L75" s="67"/>
      <c r="M75" s="67"/>
      <c r="N75" s="67">
        <f t="shared" ref="N75:W75" si="16">N56+N57+N58+N59+N60+N61+N62+N63+N64+N65+N66+N67+N68+N69+N70+N71+N72+N73+N74</f>
        <v>0</v>
      </c>
      <c r="O75" s="77">
        <f t="shared" si="16"/>
        <v>292</v>
      </c>
      <c r="P75" s="66">
        <f t="shared" si="16"/>
        <v>0</v>
      </c>
      <c r="Q75" s="198">
        <f t="shared" si="14"/>
        <v>0</v>
      </c>
      <c r="R75" s="234"/>
      <c r="S75" s="78"/>
      <c r="T75" s="78"/>
      <c r="U75" s="78">
        <f t="shared" si="16"/>
        <v>0</v>
      </c>
      <c r="V75" s="67">
        <f t="shared" si="16"/>
        <v>292</v>
      </c>
      <c r="W75" s="72">
        <f t="shared" si="16"/>
        <v>0</v>
      </c>
      <c r="X75" s="64">
        <f t="shared" si="8"/>
        <v>0</v>
      </c>
      <c r="Y75" s="213"/>
    </row>
    <row r="76" spans="2:25" hidden="1" x14ac:dyDescent="0.2">
      <c r="B76" s="350"/>
      <c r="C76" s="312" t="s">
        <v>138</v>
      </c>
      <c r="D76" s="6" t="s">
        <v>0</v>
      </c>
      <c r="E76" s="160">
        <v>46036</v>
      </c>
      <c r="F76" s="160">
        <v>46036</v>
      </c>
      <c r="G76" s="240">
        <v>1</v>
      </c>
      <c r="H76" s="179">
        <v>3</v>
      </c>
      <c r="I76" s="243">
        <v>3</v>
      </c>
      <c r="J76" s="15">
        <f>I76/H76*100</f>
        <v>100</v>
      </c>
      <c r="K76" s="49"/>
      <c r="L76" s="92"/>
      <c r="M76" s="92"/>
      <c r="N76" s="92"/>
      <c r="O76" s="33">
        <f>H76</f>
        <v>3</v>
      </c>
      <c r="P76" s="20"/>
      <c r="Q76" s="193">
        <f>P76/O76*100</f>
        <v>0</v>
      </c>
      <c r="R76" s="204"/>
      <c r="S76" s="92"/>
      <c r="T76" s="92"/>
      <c r="U76" s="92"/>
      <c r="V76" s="9">
        <f>O76</f>
        <v>3</v>
      </c>
      <c r="W76" s="96"/>
      <c r="X76" s="15">
        <f>W76/V76*100</f>
        <v>0</v>
      </c>
      <c r="Y76" s="49"/>
    </row>
    <row r="77" spans="2:25" hidden="1" x14ac:dyDescent="0.2">
      <c r="B77" s="350"/>
      <c r="C77" s="312"/>
      <c r="D77" s="80" t="s">
        <v>73</v>
      </c>
      <c r="E77" s="159">
        <v>46041</v>
      </c>
      <c r="F77" s="159">
        <v>46041</v>
      </c>
      <c r="G77" s="178">
        <v>1</v>
      </c>
      <c r="H77" s="179">
        <v>14</v>
      </c>
      <c r="I77" s="180">
        <v>10</v>
      </c>
      <c r="J77" s="15">
        <f t="shared" ref="J77:J107" si="17">I77/H77*100</f>
        <v>71.428571428571431</v>
      </c>
      <c r="K77" s="50"/>
      <c r="L77" s="48"/>
      <c r="M77" s="48"/>
      <c r="N77" s="48"/>
      <c r="O77" s="33">
        <f t="shared" ref="O77:O90" si="18">H77</f>
        <v>14</v>
      </c>
      <c r="P77" s="21"/>
      <c r="Q77" s="193">
        <f t="shared" ref="Q77:Q107" si="19">P77/O77*100</f>
        <v>0</v>
      </c>
      <c r="R77" s="205"/>
      <c r="S77" s="48"/>
      <c r="T77" s="48"/>
      <c r="U77" s="48"/>
      <c r="V77" s="9">
        <f t="shared" ref="V77:V91" si="20">O77</f>
        <v>14</v>
      </c>
      <c r="W77" s="94"/>
      <c r="X77" s="15">
        <f t="shared" ref="X77:X92" si="21">W77/V77*100</f>
        <v>0</v>
      </c>
      <c r="Y77" s="50"/>
    </row>
    <row r="78" spans="2:25" hidden="1" x14ac:dyDescent="0.2">
      <c r="B78" s="350"/>
      <c r="C78" s="312"/>
      <c r="D78" s="80" t="s">
        <v>76</v>
      </c>
      <c r="E78" s="274">
        <v>46111</v>
      </c>
      <c r="F78" s="48"/>
      <c r="G78" s="48"/>
      <c r="H78" s="9">
        <v>10</v>
      </c>
      <c r="I78" s="94"/>
      <c r="J78" s="15">
        <f t="shared" si="17"/>
        <v>0</v>
      </c>
      <c r="K78" s="50"/>
      <c r="L78" s="48"/>
      <c r="M78" s="48"/>
      <c r="N78" s="48"/>
      <c r="O78" s="33">
        <f t="shared" si="18"/>
        <v>10</v>
      </c>
      <c r="P78" s="21"/>
      <c r="Q78" s="193">
        <f t="shared" si="19"/>
        <v>0</v>
      </c>
      <c r="R78" s="205"/>
      <c r="S78" s="48"/>
      <c r="T78" s="48"/>
      <c r="U78" s="48"/>
      <c r="V78" s="9">
        <f t="shared" si="20"/>
        <v>10</v>
      </c>
      <c r="W78" s="94"/>
      <c r="X78" s="15">
        <f t="shared" si="21"/>
        <v>0</v>
      </c>
      <c r="Y78" s="50"/>
    </row>
    <row r="79" spans="2:25" hidden="1" x14ac:dyDescent="0.2">
      <c r="B79" s="350"/>
      <c r="C79" s="312"/>
      <c r="D79" s="80" t="s">
        <v>78</v>
      </c>
      <c r="E79" s="159">
        <v>46036</v>
      </c>
      <c r="F79" s="159">
        <v>46036</v>
      </c>
      <c r="G79" s="178">
        <v>1</v>
      </c>
      <c r="H79" s="179">
        <v>15</v>
      </c>
      <c r="I79" s="180">
        <v>12</v>
      </c>
      <c r="J79" s="15">
        <f t="shared" si="17"/>
        <v>80</v>
      </c>
      <c r="K79" s="50"/>
      <c r="L79" s="48"/>
      <c r="M79" s="48"/>
      <c r="N79" s="48"/>
      <c r="O79" s="33">
        <f t="shared" si="18"/>
        <v>15</v>
      </c>
      <c r="P79" s="21"/>
      <c r="Q79" s="193">
        <f t="shared" si="19"/>
        <v>0</v>
      </c>
      <c r="R79" s="205"/>
      <c r="S79" s="48"/>
      <c r="T79" s="48"/>
      <c r="U79" s="48"/>
      <c r="V79" s="9">
        <f t="shared" si="20"/>
        <v>15</v>
      </c>
      <c r="W79" s="94"/>
      <c r="X79" s="15">
        <f t="shared" si="21"/>
        <v>0</v>
      </c>
      <c r="Y79" s="50"/>
    </row>
    <row r="80" spans="2:25" hidden="1" x14ac:dyDescent="0.2">
      <c r="B80" s="350"/>
      <c r="C80" s="312"/>
      <c r="D80" s="80" t="s">
        <v>71</v>
      </c>
      <c r="E80" s="167">
        <v>46159</v>
      </c>
      <c r="F80" s="48"/>
      <c r="G80" s="48"/>
      <c r="H80" s="9">
        <v>18</v>
      </c>
      <c r="I80" s="94"/>
      <c r="J80" s="15">
        <f t="shared" si="17"/>
        <v>0</v>
      </c>
      <c r="K80" s="50"/>
      <c r="L80" s="48"/>
      <c r="M80" s="48"/>
      <c r="N80" s="48"/>
      <c r="O80" s="33">
        <f t="shared" si="18"/>
        <v>18</v>
      </c>
      <c r="P80" s="21"/>
      <c r="Q80" s="193">
        <f t="shared" si="19"/>
        <v>0</v>
      </c>
      <c r="R80" s="205"/>
      <c r="S80" s="48"/>
      <c r="T80" s="48"/>
      <c r="U80" s="48"/>
      <c r="V80" s="9">
        <f t="shared" si="20"/>
        <v>18</v>
      </c>
      <c r="W80" s="94"/>
      <c r="X80" s="15">
        <f t="shared" si="21"/>
        <v>0</v>
      </c>
      <c r="Y80" s="50"/>
    </row>
    <row r="81" spans="2:25" hidden="1" x14ac:dyDescent="0.2">
      <c r="B81" s="350"/>
      <c r="C81" s="312"/>
      <c r="D81" s="80" t="s">
        <v>77</v>
      </c>
      <c r="E81" s="159">
        <v>46062</v>
      </c>
      <c r="F81" s="159">
        <v>46062</v>
      </c>
      <c r="G81" s="178">
        <v>1</v>
      </c>
      <c r="H81" s="179">
        <v>9</v>
      </c>
      <c r="I81" s="180">
        <v>7</v>
      </c>
      <c r="J81" s="15">
        <f t="shared" si="17"/>
        <v>77.777777777777786</v>
      </c>
      <c r="K81" s="50"/>
      <c r="L81" s="48"/>
      <c r="M81" s="48"/>
      <c r="N81" s="48"/>
      <c r="O81" s="33">
        <f t="shared" si="18"/>
        <v>9</v>
      </c>
      <c r="P81" s="21"/>
      <c r="Q81" s="193">
        <f t="shared" si="19"/>
        <v>0</v>
      </c>
      <c r="R81" s="205"/>
      <c r="S81" s="48"/>
      <c r="T81" s="48"/>
      <c r="U81" s="48"/>
      <c r="V81" s="9">
        <f t="shared" si="20"/>
        <v>9</v>
      </c>
      <c r="W81" s="94"/>
      <c r="X81" s="15">
        <f t="shared" si="21"/>
        <v>0</v>
      </c>
      <c r="Y81" s="50"/>
    </row>
    <row r="82" spans="2:25" hidden="1" x14ac:dyDescent="0.2">
      <c r="B82" s="350"/>
      <c r="C82" s="312"/>
      <c r="D82" s="80" t="s">
        <v>74</v>
      </c>
      <c r="E82" s="167">
        <v>46166</v>
      </c>
      <c r="F82" s="48"/>
      <c r="G82" s="48"/>
      <c r="H82" s="9">
        <v>16</v>
      </c>
      <c r="I82" s="94"/>
      <c r="J82" s="15">
        <f t="shared" si="17"/>
        <v>0</v>
      </c>
      <c r="K82" s="50"/>
      <c r="L82" s="48"/>
      <c r="M82" s="48"/>
      <c r="N82" s="48"/>
      <c r="O82" s="33">
        <f t="shared" si="18"/>
        <v>16</v>
      </c>
      <c r="P82" s="21"/>
      <c r="Q82" s="193">
        <f t="shared" si="19"/>
        <v>0</v>
      </c>
      <c r="R82" s="205"/>
      <c r="S82" s="48"/>
      <c r="T82" s="48"/>
      <c r="U82" s="48"/>
      <c r="V82" s="9">
        <f t="shared" si="20"/>
        <v>16</v>
      </c>
      <c r="W82" s="94"/>
      <c r="X82" s="15">
        <f t="shared" si="21"/>
        <v>0</v>
      </c>
      <c r="Y82" s="50"/>
    </row>
    <row r="83" spans="2:25" hidden="1" x14ac:dyDescent="0.2">
      <c r="B83" s="350"/>
      <c r="C83" s="312"/>
      <c r="D83" s="80" t="s">
        <v>79</v>
      </c>
      <c r="E83" s="167">
        <v>46166</v>
      </c>
      <c r="F83" s="48"/>
      <c r="G83" s="48"/>
      <c r="H83" s="9">
        <v>12</v>
      </c>
      <c r="I83" s="94"/>
      <c r="J83" s="15">
        <f t="shared" si="17"/>
        <v>0</v>
      </c>
      <c r="K83" s="50"/>
      <c r="L83" s="48"/>
      <c r="M83" s="48"/>
      <c r="N83" s="48"/>
      <c r="O83" s="33">
        <f t="shared" si="18"/>
        <v>12</v>
      </c>
      <c r="P83" s="21"/>
      <c r="Q83" s="193">
        <f t="shared" si="19"/>
        <v>0</v>
      </c>
      <c r="R83" s="205"/>
      <c r="S83" s="48"/>
      <c r="T83" s="48"/>
      <c r="U83" s="48"/>
      <c r="V83" s="9">
        <f t="shared" si="20"/>
        <v>12</v>
      </c>
      <c r="W83" s="94"/>
      <c r="X83" s="15">
        <f t="shared" si="21"/>
        <v>0</v>
      </c>
      <c r="Y83" s="50"/>
    </row>
    <row r="84" spans="2:25" hidden="1" x14ac:dyDescent="0.2">
      <c r="B84" s="350"/>
      <c r="C84" s="312"/>
      <c r="D84" s="80" t="s">
        <v>83</v>
      </c>
      <c r="E84" s="159">
        <v>46110</v>
      </c>
      <c r="F84" s="159">
        <v>46110</v>
      </c>
      <c r="G84" s="178">
        <v>1</v>
      </c>
      <c r="H84" s="179">
        <v>12</v>
      </c>
      <c r="I84" s="180">
        <v>9</v>
      </c>
      <c r="J84" s="15">
        <f t="shared" si="17"/>
        <v>75</v>
      </c>
      <c r="K84" s="50"/>
      <c r="L84" s="48"/>
      <c r="M84" s="48"/>
      <c r="N84" s="48"/>
      <c r="O84" s="33">
        <f t="shared" si="18"/>
        <v>12</v>
      </c>
      <c r="P84" s="21"/>
      <c r="Q84" s="193">
        <f t="shared" si="19"/>
        <v>0</v>
      </c>
      <c r="R84" s="205"/>
      <c r="S84" s="48"/>
      <c r="T84" s="48"/>
      <c r="U84" s="48"/>
      <c r="V84" s="9">
        <f t="shared" si="20"/>
        <v>12</v>
      </c>
      <c r="W84" s="94"/>
      <c r="X84" s="15">
        <f t="shared" si="21"/>
        <v>0</v>
      </c>
      <c r="Y84" s="50"/>
    </row>
    <row r="85" spans="2:25" hidden="1" x14ac:dyDescent="0.2">
      <c r="B85" s="350"/>
      <c r="C85" s="313"/>
      <c r="D85" s="80" t="s">
        <v>81</v>
      </c>
      <c r="E85" s="255">
        <v>46062</v>
      </c>
      <c r="F85" s="255">
        <v>46062</v>
      </c>
      <c r="G85" s="43"/>
      <c r="H85" s="165">
        <v>5</v>
      </c>
      <c r="I85" s="164">
        <v>1</v>
      </c>
      <c r="J85" s="15">
        <f t="shared" si="17"/>
        <v>20</v>
      </c>
      <c r="K85" s="50">
        <v>3</v>
      </c>
      <c r="L85" s="48"/>
      <c r="M85" s="48"/>
      <c r="N85" s="48"/>
      <c r="O85" s="33">
        <f t="shared" si="18"/>
        <v>5</v>
      </c>
      <c r="P85" s="21"/>
      <c r="Q85" s="193">
        <f t="shared" si="19"/>
        <v>0</v>
      </c>
      <c r="R85" s="205"/>
      <c r="S85" s="48"/>
      <c r="T85" s="48"/>
      <c r="U85" s="48"/>
      <c r="V85" s="9">
        <f t="shared" si="20"/>
        <v>5</v>
      </c>
      <c r="W85" s="94"/>
      <c r="X85" s="15">
        <f t="shared" si="21"/>
        <v>0</v>
      </c>
      <c r="Y85" s="50"/>
    </row>
    <row r="86" spans="2:25" hidden="1" x14ac:dyDescent="0.2">
      <c r="B86" s="350"/>
      <c r="C86" s="313"/>
      <c r="D86" s="81" t="s">
        <v>84</v>
      </c>
      <c r="E86" s="244">
        <v>46110</v>
      </c>
      <c r="F86" s="244">
        <v>46110</v>
      </c>
      <c r="G86" s="264"/>
      <c r="H86" s="165">
        <v>15</v>
      </c>
      <c r="I86" s="282">
        <v>10</v>
      </c>
      <c r="J86" s="15">
        <f t="shared" si="17"/>
        <v>66.666666666666657</v>
      </c>
      <c r="K86" s="50">
        <v>1</v>
      </c>
      <c r="L86" s="91"/>
      <c r="M86" s="91"/>
      <c r="N86" s="91"/>
      <c r="O86" s="33">
        <f t="shared" si="18"/>
        <v>15</v>
      </c>
      <c r="P86" s="22"/>
      <c r="Q86" s="193">
        <f t="shared" si="19"/>
        <v>0</v>
      </c>
      <c r="R86" s="205"/>
      <c r="S86" s="91"/>
      <c r="T86" s="91"/>
      <c r="U86" s="91"/>
      <c r="V86" s="9">
        <f t="shared" si="20"/>
        <v>15</v>
      </c>
      <c r="W86" s="95"/>
      <c r="X86" s="15">
        <f t="shared" si="21"/>
        <v>0</v>
      </c>
      <c r="Y86" s="50"/>
    </row>
    <row r="87" spans="2:25" hidden="1" x14ac:dyDescent="0.2">
      <c r="B87" s="350"/>
      <c r="C87" s="313"/>
      <c r="D87" s="80" t="s">
        <v>82</v>
      </c>
      <c r="E87" s="159">
        <v>46048</v>
      </c>
      <c r="F87" s="159">
        <v>46048</v>
      </c>
      <c r="G87" s="178">
        <v>1</v>
      </c>
      <c r="H87" s="179">
        <v>17</v>
      </c>
      <c r="I87" s="180">
        <v>13</v>
      </c>
      <c r="J87" s="15">
        <f t="shared" si="17"/>
        <v>76.470588235294116</v>
      </c>
      <c r="K87" s="50"/>
      <c r="L87" s="48"/>
      <c r="M87" s="48"/>
      <c r="N87" s="48"/>
      <c r="O87" s="33">
        <f t="shared" si="18"/>
        <v>17</v>
      </c>
      <c r="P87" s="21"/>
      <c r="Q87" s="193">
        <f t="shared" si="19"/>
        <v>0</v>
      </c>
      <c r="R87" s="205"/>
      <c r="S87" s="48"/>
      <c r="T87" s="48"/>
      <c r="U87" s="48"/>
      <c r="V87" s="9">
        <f t="shared" si="20"/>
        <v>17</v>
      </c>
      <c r="W87" s="94"/>
      <c r="X87" s="15">
        <f t="shared" si="21"/>
        <v>0</v>
      </c>
      <c r="Y87" s="50"/>
    </row>
    <row r="88" spans="2:25" hidden="1" x14ac:dyDescent="0.2">
      <c r="B88" s="350"/>
      <c r="C88" s="313"/>
      <c r="D88" s="80" t="s">
        <v>72</v>
      </c>
      <c r="E88" s="159">
        <v>46048</v>
      </c>
      <c r="F88" s="159">
        <v>46048</v>
      </c>
      <c r="G88" s="178">
        <v>1</v>
      </c>
      <c r="H88" s="179">
        <v>18</v>
      </c>
      <c r="I88" s="180">
        <v>13</v>
      </c>
      <c r="J88" s="15">
        <f t="shared" si="17"/>
        <v>72.222222222222214</v>
      </c>
      <c r="K88" s="50"/>
      <c r="L88" s="48"/>
      <c r="M88" s="48"/>
      <c r="N88" s="48"/>
      <c r="O88" s="33">
        <f t="shared" si="18"/>
        <v>18</v>
      </c>
      <c r="P88" s="21"/>
      <c r="Q88" s="193">
        <f t="shared" si="19"/>
        <v>0</v>
      </c>
      <c r="R88" s="205"/>
      <c r="S88" s="48"/>
      <c r="T88" s="48"/>
      <c r="U88" s="48"/>
      <c r="V88" s="9">
        <f t="shared" si="20"/>
        <v>18</v>
      </c>
      <c r="W88" s="94"/>
      <c r="X88" s="15">
        <f t="shared" si="21"/>
        <v>0</v>
      </c>
      <c r="Y88" s="50"/>
    </row>
    <row r="89" spans="2:25" hidden="1" x14ac:dyDescent="0.2">
      <c r="B89" s="350"/>
      <c r="C89" s="313"/>
      <c r="D89" s="80" t="s">
        <v>75</v>
      </c>
      <c r="E89" s="178" t="s">
        <v>184</v>
      </c>
      <c r="F89" s="178" t="s">
        <v>184</v>
      </c>
      <c r="G89" s="178">
        <v>1</v>
      </c>
      <c r="H89" s="179">
        <v>10</v>
      </c>
      <c r="I89" s="180">
        <v>8</v>
      </c>
      <c r="J89" s="15">
        <f t="shared" si="17"/>
        <v>80</v>
      </c>
      <c r="K89" s="50"/>
      <c r="L89" s="48"/>
      <c r="M89" s="48"/>
      <c r="N89" s="48"/>
      <c r="O89" s="33">
        <f t="shared" si="18"/>
        <v>10</v>
      </c>
      <c r="P89" s="21"/>
      <c r="Q89" s="193">
        <f t="shared" si="19"/>
        <v>0</v>
      </c>
      <c r="R89" s="205"/>
      <c r="S89" s="48"/>
      <c r="T89" s="48"/>
      <c r="U89" s="48"/>
      <c r="V89" s="9">
        <f t="shared" si="20"/>
        <v>10</v>
      </c>
      <c r="W89" s="94"/>
      <c r="X89" s="15">
        <f t="shared" si="21"/>
        <v>0</v>
      </c>
      <c r="Y89" s="50"/>
    </row>
    <row r="90" spans="2:25" hidden="1" x14ac:dyDescent="0.2">
      <c r="B90" s="350"/>
      <c r="C90" s="313"/>
      <c r="D90" s="81" t="s">
        <v>80</v>
      </c>
      <c r="E90" s="277">
        <v>46094</v>
      </c>
      <c r="F90" s="265"/>
      <c r="G90" s="91"/>
      <c r="H90" s="28">
        <v>23</v>
      </c>
      <c r="I90" s="95">
        <v>1</v>
      </c>
      <c r="J90" s="26">
        <f t="shared" si="17"/>
        <v>4.3478260869565215</v>
      </c>
      <c r="K90" s="51"/>
      <c r="L90" s="244">
        <v>46059</v>
      </c>
      <c r="M90" s="244">
        <v>46059</v>
      </c>
      <c r="N90" s="264"/>
      <c r="O90" s="266">
        <f t="shared" si="18"/>
        <v>23</v>
      </c>
      <c r="P90" s="267">
        <v>14</v>
      </c>
      <c r="Q90" s="199">
        <f t="shared" si="19"/>
        <v>60.869565217391312</v>
      </c>
      <c r="R90" s="206">
        <v>3</v>
      </c>
      <c r="S90" s="91"/>
      <c r="T90" s="91"/>
      <c r="U90" s="91"/>
      <c r="V90" s="28">
        <f t="shared" si="20"/>
        <v>23</v>
      </c>
      <c r="W90" s="95"/>
      <c r="X90" s="26">
        <f t="shared" si="21"/>
        <v>0</v>
      </c>
      <c r="Y90" s="51"/>
    </row>
    <row r="91" spans="2:25" ht="17" hidden="1" thickTop="1" thickBot="1" x14ac:dyDescent="0.25">
      <c r="B91" s="350"/>
      <c r="C91" s="314"/>
      <c r="D91" s="86" t="s">
        <v>132</v>
      </c>
      <c r="E91" s="98"/>
      <c r="F91" s="98"/>
      <c r="G91" s="98"/>
      <c r="H91" s="10">
        <v>17</v>
      </c>
      <c r="I91" s="99">
        <v>2</v>
      </c>
      <c r="J91" s="18">
        <f t="shared" si="17"/>
        <v>11.76470588235294</v>
      </c>
      <c r="K91" s="57"/>
      <c r="L91" s="10"/>
      <c r="M91" s="10"/>
      <c r="N91" s="10"/>
      <c r="O91" s="34">
        <f>H91</f>
        <v>17</v>
      </c>
      <c r="P91" s="23">
        <v>2</v>
      </c>
      <c r="Q91" s="116">
        <f t="shared" si="19"/>
        <v>11.76470588235294</v>
      </c>
      <c r="R91" s="207"/>
      <c r="S91" s="98"/>
      <c r="T91" s="98"/>
      <c r="U91" s="98"/>
      <c r="V91" s="10">
        <f t="shared" si="20"/>
        <v>17</v>
      </c>
      <c r="W91" s="99"/>
      <c r="X91" s="18">
        <f t="shared" si="21"/>
        <v>0</v>
      </c>
      <c r="Y91" s="208"/>
    </row>
    <row r="92" spans="2:25" ht="17" hidden="1" thickTop="1" thickBot="1" x14ac:dyDescent="0.25">
      <c r="B92" s="351"/>
      <c r="C92" s="333" t="s">
        <v>177</v>
      </c>
      <c r="D92" s="331"/>
      <c r="E92" s="331"/>
      <c r="F92" s="344"/>
      <c r="G92" s="75">
        <f>G76+G77+G78+G79+G80+G81+G82+G83+G84+G85+G86+G87+G88+G89+G90+G91</f>
        <v>8</v>
      </c>
      <c r="H92" s="74">
        <f>H76+H77+H78+H79+H80+H81+H82+H83+H84+H85+H86+H87+H88+H89+H90+H91</f>
        <v>214</v>
      </c>
      <c r="I92" s="74">
        <f>I76+I77+I78+I79+I80+I81+I82+I83+I84+I85+I86+I87+I88+I89+I90+I91</f>
        <v>89</v>
      </c>
      <c r="J92" s="183">
        <f>I92/H92*100</f>
        <v>41.588785046728972</v>
      </c>
      <c r="K92" s="78"/>
      <c r="L92" s="73"/>
      <c r="M92" s="73"/>
      <c r="N92" s="73">
        <f t="shared" ref="N92:W92" si="22">N76+N77+N78+N79+N80+N81+N82+N83+N84+N85+N86+N87+N88+N89+N90+N91</f>
        <v>0</v>
      </c>
      <c r="O92" s="74">
        <f t="shared" si="22"/>
        <v>214</v>
      </c>
      <c r="P92" s="74">
        <f t="shared" si="22"/>
        <v>16</v>
      </c>
      <c r="Q92" s="192">
        <f t="shared" si="19"/>
        <v>7.4766355140186906</v>
      </c>
      <c r="R92" s="69"/>
      <c r="S92" s="75"/>
      <c r="T92" s="75"/>
      <c r="U92" s="75">
        <f t="shared" si="22"/>
        <v>0</v>
      </c>
      <c r="V92" s="74">
        <f t="shared" si="22"/>
        <v>214</v>
      </c>
      <c r="W92" s="76">
        <f t="shared" si="22"/>
        <v>0</v>
      </c>
      <c r="X92" s="100">
        <f t="shared" si="21"/>
        <v>0</v>
      </c>
      <c r="Y92" s="209"/>
    </row>
    <row r="93" spans="2:25" hidden="1" x14ac:dyDescent="0.2">
      <c r="B93" s="350"/>
      <c r="C93" s="312" t="s">
        <v>139</v>
      </c>
      <c r="D93" s="6" t="s">
        <v>91</v>
      </c>
      <c r="E93" s="160">
        <v>46104</v>
      </c>
      <c r="F93" s="292">
        <v>46104</v>
      </c>
      <c r="G93" s="240">
        <v>1</v>
      </c>
      <c r="H93" s="179">
        <v>14</v>
      </c>
      <c r="I93" s="243">
        <v>14</v>
      </c>
      <c r="J93" s="15">
        <f t="shared" si="17"/>
        <v>100</v>
      </c>
      <c r="K93" s="49"/>
      <c r="L93" s="160">
        <v>46043</v>
      </c>
      <c r="M93" s="160">
        <v>46043</v>
      </c>
      <c r="N93" s="240">
        <v>1</v>
      </c>
      <c r="O93" s="241">
        <f>H93</f>
        <v>14</v>
      </c>
      <c r="P93" s="242">
        <v>14</v>
      </c>
      <c r="Q93" s="193">
        <f t="shared" si="19"/>
        <v>100</v>
      </c>
      <c r="R93" s="204"/>
      <c r="S93" s="92"/>
      <c r="T93" s="92"/>
      <c r="U93" s="92"/>
      <c r="V93" s="9">
        <f>O93</f>
        <v>14</v>
      </c>
      <c r="W93" s="96"/>
      <c r="X93" s="15">
        <f t="shared" si="8"/>
        <v>0</v>
      </c>
      <c r="Y93" s="49"/>
    </row>
    <row r="94" spans="2:25" hidden="1" x14ac:dyDescent="0.2">
      <c r="B94" s="350"/>
      <c r="C94" s="313"/>
      <c r="D94" s="80" t="s">
        <v>90</v>
      </c>
      <c r="E94" s="48"/>
      <c r="F94" s="48"/>
      <c r="G94" s="48"/>
      <c r="H94" s="9">
        <v>14</v>
      </c>
      <c r="I94" s="94">
        <v>5</v>
      </c>
      <c r="J94" s="16">
        <f t="shared" si="17"/>
        <v>35.714285714285715</v>
      </c>
      <c r="K94" s="50">
        <v>5</v>
      </c>
      <c r="L94" s="159">
        <v>46055</v>
      </c>
      <c r="M94" s="159">
        <v>46055</v>
      </c>
      <c r="N94" s="178">
        <v>1</v>
      </c>
      <c r="O94" s="175">
        <f>H94</f>
        <v>14</v>
      </c>
      <c r="P94" s="176">
        <v>12</v>
      </c>
      <c r="Q94" s="190">
        <f t="shared" si="19"/>
        <v>85.714285714285708</v>
      </c>
      <c r="R94" s="205"/>
      <c r="S94" s="48"/>
      <c r="T94" s="48"/>
      <c r="U94" s="48"/>
      <c r="V94" s="9">
        <f t="shared" ref="V94:V106" si="23">O94</f>
        <v>14</v>
      </c>
      <c r="W94" s="94"/>
      <c r="X94" s="16">
        <f t="shared" si="8"/>
        <v>0</v>
      </c>
      <c r="Y94" s="50"/>
    </row>
    <row r="95" spans="2:25" hidden="1" x14ac:dyDescent="0.2">
      <c r="B95" s="350"/>
      <c r="C95" s="313"/>
      <c r="D95" s="80" t="s">
        <v>17</v>
      </c>
      <c r="E95" s="159">
        <v>46104</v>
      </c>
      <c r="F95" s="291">
        <v>46104</v>
      </c>
      <c r="G95" s="178">
        <v>1</v>
      </c>
      <c r="H95" s="179">
        <v>8</v>
      </c>
      <c r="I95" s="180">
        <v>8</v>
      </c>
      <c r="J95" s="16">
        <f t="shared" si="17"/>
        <v>100</v>
      </c>
      <c r="K95" s="50"/>
      <c r="L95" s="159">
        <v>46068</v>
      </c>
      <c r="M95" s="159">
        <v>46068</v>
      </c>
      <c r="N95" s="178">
        <v>1</v>
      </c>
      <c r="O95" s="175">
        <f t="shared" ref="O95:O104" si="24">H95</f>
        <v>8</v>
      </c>
      <c r="P95" s="176">
        <v>8</v>
      </c>
      <c r="Q95" s="190">
        <f t="shared" si="19"/>
        <v>100</v>
      </c>
      <c r="R95" s="205"/>
      <c r="S95" s="48"/>
      <c r="T95" s="48"/>
      <c r="U95" s="48"/>
      <c r="V95" s="9">
        <f t="shared" si="23"/>
        <v>8</v>
      </c>
      <c r="W95" s="94"/>
      <c r="X95" s="16">
        <f t="shared" ref="X95:X107" si="25">W95/V95*100</f>
        <v>0</v>
      </c>
      <c r="Y95" s="50"/>
    </row>
    <row r="96" spans="2:25" hidden="1" x14ac:dyDescent="0.2">
      <c r="B96" s="350"/>
      <c r="C96" s="313"/>
      <c r="D96" s="80" t="s">
        <v>93</v>
      </c>
      <c r="E96" s="48"/>
      <c r="F96" s="48"/>
      <c r="G96" s="48"/>
      <c r="H96" s="9">
        <v>8</v>
      </c>
      <c r="I96" s="94"/>
      <c r="J96" s="16">
        <f t="shared" si="17"/>
        <v>0</v>
      </c>
      <c r="K96" s="50"/>
      <c r="L96" s="166"/>
      <c r="M96" s="48"/>
      <c r="N96" s="48"/>
      <c r="O96" s="32">
        <f t="shared" si="24"/>
        <v>8</v>
      </c>
      <c r="P96" s="21"/>
      <c r="Q96" s="190">
        <f t="shared" si="19"/>
        <v>0</v>
      </c>
      <c r="R96" s="205"/>
      <c r="S96" s="48"/>
      <c r="T96" s="48"/>
      <c r="U96" s="48"/>
      <c r="V96" s="9">
        <f t="shared" si="23"/>
        <v>8</v>
      </c>
      <c r="W96" s="94"/>
      <c r="X96" s="16">
        <f t="shared" si="25"/>
        <v>0</v>
      </c>
      <c r="Y96" s="50"/>
    </row>
    <row r="97" spans="2:25" hidden="1" x14ac:dyDescent="0.2">
      <c r="B97" s="350"/>
      <c r="C97" s="313"/>
      <c r="D97" s="80" t="s">
        <v>95</v>
      </c>
      <c r="E97" s="272">
        <v>46092</v>
      </c>
      <c r="F97" s="48"/>
      <c r="G97" s="48"/>
      <c r="H97" s="9">
        <v>15</v>
      </c>
      <c r="I97" s="94"/>
      <c r="J97" s="16">
        <f t="shared" si="17"/>
        <v>0</v>
      </c>
      <c r="K97" s="50"/>
      <c r="L97" s="172">
        <v>46036</v>
      </c>
      <c r="M97" s="173">
        <v>46036</v>
      </c>
      <c r="N97" s="174">
        <v>1</v>
      </c>
      <c r="O97" s="175">
        <f t="shared" si="24"/>
        <v>15</v>
      </c>
      <c r="P97" s="176">
        <v>15</v>
      </c>
      <c r="Q97" s="190">
        <f t="shared" si="19"/>
        <v>100</v>
      </c>
      <c r="R97" s="205"/>
      <c r="S97" s="48"/>
      <c r="T97" s="48"/>
      <c r="U97" s="48"/>
      <c r="V97" s="9">
        <f t="shared" si="23"/>
        <v>15</v>
      </c>
      <c r="W97" s="94"/>
      <c r="X97" s="16">
        <f t="shared" si="25"/>
        <v>0</v>
      </c>
      <c r="Y97" s="50"/>
    </row>
    <row r="98" spans="2:25" hidden="1" x14ac:dyDescent="0.2">
      <c r="B98" s="350"/>
      <c r="C98" s="313"/>
      <c r="D98" s="80" t="s">
        <v>89</v>
      </c>
      <c r="E98" s="272">
        <v>46092</v>
      </c>
      <c r="F98" s="48"/>
      <c r="G98" s="48"/>
      <c r="H98" s="9">
        <v>13</v>
      </c>
      <c r="I98" s="94"/>
      <c r="J98" s="16">
        <f t="shared" si="17"/>
        <v>0</v>
      </c>
      <c r="K98" s="50"/>
      <c r="L98" s="172">
        <v>46036</v>
      </c>
      <c r="M98" s="173">
        <v>46036</v>
      </c>
      <c r="N98" s="174">
        <v>1</v>
      </c>
      <c r="O98" s="175">
        <f t="shared" si="24"/>
        <v>13</v>
      </c>
      <c r="P98" s="176">
        <v>11</v>
      </c>
      <c r="Q98" s="190">
        <f t="shared" si="19"/>
        <v>84.615384615384613</v>
      </c>
      <c r="R98" s="205"/>
      <c r="S98" s="48"/>
      <c r="T98" s="48"/>
      <c r="U98" s="48"/>
      <c r="V98" s="9">
        <f t="shared" si="23"/>
        <v>13</v>
      </c>
      <c r="W98" s="94"/>
      <c r="X98" s="16">
        <f t="shared" si="25"/>
        <v>0</v>
      </c>
      <c r="Y98" s="50"/>
    </row>
    <row r="99" spans="2:25" hidden="1" x14ac:dyDescent="0.2">
      <c r="B99" s="350"/>
      <c r="C99" s="313"/>
      <c r="D99" s="80" t="s">
        <v>92</v>
      </c>
      <c r="E99" s="272">
        <v>46092</v>
      </c>
      <c r="F99" s="48"/>
      <c r="G99" s="48"/>
      <c r="H99" s="9">
        <v>5</v>
      </c>
      <c r="I99" s="94"/>
      <c r="J99" s="16">
        <f t="shared" si="17"/>
        <v>0</v>
      </c>
      <c r="K99" s="50"/>
      <c r="L99" s="172">
        <v>46036</v>
      </c>
      <c r="M99" s="173">
        <v>46036</v>
      </c>
      <c r="N99" s="174">
        <v>1</v>
      </c>
      <c r="O99" s="175">
        <f t="shared" si="24"/>
        <v>5</v>
      </c>
      <c r="P99" s="176">
        <v>5</v>
      </c>
      <c r="Q99" s="190">
        <f t="shared" si="19"/>
        <v>100</v>
      </c>
      <c r="R99" s="205"/>
      <c r="S99" s="48"/>
      <c r="T99" s="48"/>
      <c r="U99" s="48"/>
      <c r="V99" s="9">
        <f t="shared" si="23"/>
        <v>5</v>
      </c>
      <c r="W99" s="94"/>
      <c r="X99" s="16">
        <f t="shared" si="25"/>
        <v>0</v>
      </c>
      <c r="Y99" s="50"/>
    </row>
    <row r="100" spans="2:25" hidden="1" x14ac:dyDescent="0.2">
      <c r="B100" s="350"/>
      <c r="C100" s="313"/>
      <c r="D100" s="80" t="s">
        <v>94</v>
      </c>
      <c r="E100" s="48"/>
      <c r="F100" s="48"/>
      <c r="G100" s="48"/>
      <c r="H100" s="9">
        <v>15</v>
      </c>
      <c r="I100" s="94">
        <v>1</v>
      </c>
      <c r="J100" s="16">
        <f t="shared" si="17"/>
        <v>6.666666666666667</v>
      </c>
      <c r="K100" s="50"/>
      <c r="L100" s="169"/>
      <c r="M100" s="171"/>
      <c r="N100" s="170"/>
      <c r="O100" s="32">
        <f t="shared" si="24"/>
        <v>15</v>
      </c>
      <c r="P100" s="21"/>
      <c r="Q100" s="190">
        <f t="shared" si="19"/>
        <v>0</v>
      </c>
      <c r="R100" s="205"/>
      <c r="S100" s="48"/>
      <c r="T100" s="48"/>
      <c r="U100" s="48"/>
      <c r="V100" s="9">
        <f t="shared" si="23"/>
        <v>15</v>
      </c>
      <c r="W100" s="94"/>
      <c r="X100" s="16">
        <f t="shared" si="25"/>
        <v>0</v>
      </c>
      <c r="Y100" s="50"/>
    </row>
    <row r="101" spans="2:25" hidden="1" x14ac:dyDescent="0.2">
      <c r="B101" s="350"/>
      <c r="C101" s="313"/>
      <c r="D101" s="80" t="s">
        <v>87</v>
      </c>
      <c r="E101" s="48"/>
      <c r="F101" s="48"/>
      <c r="G101" s="48"/>
      <c r="H101" s="9">
        <v>18</v>
      </c>
      <c r="I101" s="94"/>
      <c r="J101" s="16">
        <f t="shared" si="17"/>
        <v>0</v>
      </c>
      <c r="K101" s="50"/>
      <c r="L101" s="159">
        <v>46092</v>
      </c>
      <c r="M101" s="159">
        <v>46092</v>
      </c>
      <c r="N101" s="178">
        <v>1</v>
      </c>
      <c r="O101" s="175">
        <f t="shared" si="24"/>
        <v>18</v>
      </c>
      <c r="P101" s="176">
        <v>17</v>
      </c>
      <c r="Q101" s="190">
        <f t="shared" si="19"/>
        <v>94.444444444444443</v>
      </c>
      <c r="R101" s="205"/>
      <c r="S101" s="48"/>
      <c r="T101" s="48"/>
      <c r="U101" s="48"/>
      <c r="V101" s="9">
        <f t="shared" si="23"/>
        <v>18</v>
      </c>
      <c r="W101" s="94"/>
      <c r="X101" s="16">
        <f t="shared" si="25"/>
        <v>0</v>
      </c>
      <c r="Y101" s="50"/>
    </row>
    <row r="102" spans="2:25" hidden="1" x14ac:dyDescent="0.2">
      <c r="B102" s="350"/>
      <c r="C102" s="313"/>
      <c r="D102" s="80" t="s">
        <v>85</v>
      </c>
      <c r="E102" s="48"/>
      <c r="F102" s="48"/>
      <c r="G102" s="48"/>
      <c r="H102" s="9">
        <v>15</v>
      </c>
      <c r="I102" s="94"/>
      <c r="J102" s="16">
        <f t="shared" si="17"/>
        <v>0</v>
      </c>
      <c r="K102" s="50"/>
      <c r="L102" s="272">
        <v>46092</v>
      </c>
      <c r="M102" s="48"/>
      <c r="N102" s="48"/>
      <c r="O102" s="32">
        <f t="shared" si="24"/>
        <v>15</v>
      </c>
      <c r="P102" s="21"/>
      <c r="Q102" s="190">
        <f t="shared" si="19"/>
        <v>0</v>
      </c>
      <c r="R102" s="205"/>
      <c r="S102" s="48"/>
      <c r="T102" s="48"/>
      <c r="U102" s="48"/>
      <c r="V102" s="9">
        <f t="shared" si="23"/>
        <v>15</v>
      </c>
      <c r="W102" s="94"/>
      <c r="X102" s="16">
        <f t="shared" si="25"/>
        <v>0</v>
      </c>
      <c r="Y102" s="50"/>
    </row>
    <row r="103" spans="2:25" hidden="1" x14ac:dyDescent="0.2">
      <c r="B103" s="350"/>
      <c r="C103" s="313"/>
      <c r="D103" s="80" t="s">
        <v>86</v>
      </c>
      <c r="E103" s="272">
        <v>46106</v>
      </c>
      <c r="F103" s="48"/>
      <c r="G103" s="48"/>
      <c r="H103" s="9">
        <v>15</v>
      </c>
      <c r="I103" s="94"/>
      <c r="J103" s="16">
        <f t="shared" si="17"/>
        <v>0</v>
      </c>
      <c r="K103" s="50"/>
      <c r="L103" s="159">
        <v>46078</v>
      </c>
      <c r="M103" s="159">
        <v>46078</v>
      </c>
      <c r="N103" s="178">
        <v>1</v>
      </c>
      <c r="O103" s="175">
        <f t="shared" si="24"/>
        <v>15</v>
      </c>
      <c r="P103" s="176">
        <v>15</v>
      </c>
      <c r="Q103" s="190">
        <f t="shared" si="19"/>
        <v>100</v>
      </c>
      <c r="R103" s="205"/>
      <c r="S103" s="48"/>
      <c r="T103" s="48"/>
      <c r="U103" s="48"/>
      <c r="V103" s="9">
        <f t="shared" si="23"/>
        <v>15</v>
      </c>
      <c r="W103" s="94"/>
      <c r="X103" s="16">
        <f t="shared" si="25"/>
        <v>0</v>
      </c>
      <c r="Y103" s="50"/>
    </row>
    <row r="104" spans="2:25" hidden="1" x14ac:dyDescent="0.2">
      <c r="B104" s="350"/>
      <c r="C104" s="313"/>
      <c r="D104" s="81" t="s">
        <v>88</v>
      </c>
      <c r="E104" s="277">
        <v>46092</v>
      </c>
      <c r="F104" s="91"/>
      <c r="G104" s="91"/>
      <c r="H104" s="28">
        <v>10</v>
      </c>
      <c r="I104" s="95"/>
      <c r="J104" s="17">
        <f t="shared" si="17"/>
        <v>0</v>
      </c>
      <c r="K104" s="51"/>
      <c r="L104" s="161">
        <v>46036</v>
      </c>
      <c r="M104" s="161">
        <v>46036</v>
      </c>
      <c r="N104" s="31">
        <v>1</v>
      </c>
      <c r="O104" s="175">
        <f t="shared" si="24"/>
        <v>10</v>
      </c>
      <c r="P104" s="177">
        <v>9</v>
      </c>
      <c r="Q104" s="191">
        <f t="shared" si="19"/>
        <v>90</v>
      </c>
      <c r="R104" s="206"/>
      <c r="S104" s="91"/>
      <c r="T104" s="91"/>
      <c r="U104" s="91"/>
      <c r="V104" s="28">
        <f t="shared" si="23"/>
        <v>10</v>
      </c>
      <c r="W104" s="95"/>
      <c r="X104" s="17">
        <f t="shared" si="25"/>
        <v>0</v>
      </c>
      <c r="Y104" s="51"/>
    </row>
    <row r="105" spans="2:25" ht="17" hidden="1" thickTop="1" thickBot="1" x14ac:dyDescent="0.25">
      <c r="B105" s="350"/>
      <c r="C105" s="335"/>
      <c r="D105" s="90" t="s">
        <v>130</v>
      </c>
      <c r="E105" s="286">
        <v>46087</v>
      </c>
      <c r="F105" s="286">
        <v>46087</v>
      </c>
      <c r="G105" s="283"/>
      <c r="H105" s="284">
        <v>31</v>
      </c>
      <c r="I105" s="285">
        <v>21</v>
      </c>
      <c r="J105" s="36">
        <f t="shared" si="17"/>
        <v>67.741935483870961</v>
      </c>
      <c r="K105" s="59">
        <v>1</v>
      </c>
      <c r="L105" s="293">
        <v>46112</v>
      </c>
      <c r="M105" s="293">
        <v>46112</v>
      </c>
      <c r="N105" s="295">
        <v>1</v>
      </c>
      <c r="O105" s="296">
        <f>H105</f>
        <v>31</v>
      </c>
      <c r="P105" s="297">
        <v>24</v>
      </c>
      <c r="Q105" s="196">
        <f t="shared" si="19"/>
        <v>77.41935483870968</v>
      </c>
      <c r="R105" s="210"/>
      <c r="S105" s="111"/>
      <c r="T105" s="111"/>
      <c r="U105" s="111"/>
      <c r="V105" s="110">
        <f t="shared" si="23"/>
        <v>31</v>
      </c>
      <c r="W105" s="112"/>
      <c r="X105" s="36">
        <f t="shared" si="25"/>
        <v>0</v>
      </c>
      <c r="Y105" s="211"/>
    </row>
    <row r="106" spans="2:25" ht="17" hidden="1" thickTop="1" thickBot="1" x14ac:dyDescent="0.25">
      <c r="B106" s="350"/>
      <c r="C106" s="314"/>
      <c r="D106" s="85" t="s">
        <v>132</v>
      </c>
      <c r="E106" s="98"/>
      <c r="F106" s="98"/>
      <c r="G106" s="98"/>
      <c r="H106" s="10">
        <v>18</v>
      </c>
      <c r="I106" s="99"/>
      <c r="J106" s="18">
        <f t="shared" si="17"/>
        <v>0</v>
      </c>
      <c r="K106" s="57"/>
      <c r="L106" s="10"/>
      <c r="M106" s="10"/>
      <c r="N106" s="10"/>
      <c r="O106" s="34">
        <f>H106</f>
        <v>18</v>
      </c>
      <c r="P106" s="23"/>
      <c r="Q106" s="116">
        <f t="shared" si="19"/>
        <v>0</v>
      </c>
      <c r="R106" s="207"/>
      <c r="S106" s="98"/>
      <c r="T106" s="98"/>
      <c r="U106" s="98"/>
      <c r="V106" s="10">
        <f t="shared" si="23"/>
        <v>18</v>
      </c>
      <c r="W106" s="99"/>
      <c r="X106" s="18">
        <f t="shared" si="25"/>
        <v>0</v>
      </c>
      <c r="Y106" s="208"/>
    </row>
    <row r="107" spans="2:25" ht="17" hidden="1" thickTop="1" thickBot="1" x14ac:dyDescent="0.25">
      <c r="B107" s="351"/>
      <c r="C107" s="333" t="s">
        <v>178</v>
      </c>
      <c r="D107" s="331"/>
      <c r="E107" s="331"/>
      <c r="F107" s="344"/>
      <c r="G107" s="69">
        <f>SUM(G93:G106)</f>
        <v>2</v>
      </c>
      <c r="H107" s="67">
        <f>SUM(H93:H106)</f>
        <v>199</v>
      </c>
      <c r="I107" s="67">
        <f>SUM(I93:I106)</f>
        <v>49</v>
      </c>
      <c r="J107" s="100">
        <f t="shared" si="17"/>
        <v>24.623115577889447</v>
      </c>
      <c r="K107" s="78"/>
      <c r="L107" s="66"/>
      <c r="M107" s="66"/>
      <c r="N107" s="66">
        <f t="shared" ref="N107:W107" si="26">SUM(N93:N106)</f>
        <v>10</v>
      </c>
      <c r="O107" s="67">
        <f t="shared" si="26"/>
        <v>199</v>
      </c>
      <c r="P107" s="71">
        <f t="shared" si="26"/>
        <v>130</v>
      </c>
      <c r="Q107" s="192">
        <f t="shared" si="19"/>
        <v>65.326633165829151</v>
      </c>
      <c r="R107" s="69"/>
      <c r="S107" s="69"/>
      <c r="T107" s="69"/>
      <c r="U107" s="69">
        <f t="shared" si="26"/>
        <v>0</v>
      </c>
      <c r="V107" s="67">
        <f t="shared" si="26"/>
        <v>199</v>
      </c>
      <c r="W107" s="72">
        <f t="shared" si="26"/>
        <v>0</v>
      </c>
      <c r="X107" s="100">
        <f t="shared" si="25"/>
        <v>0</v>
      </c>
      <c r="Y107" s="209"/>
    </row>
    <row r="108" spans="2:25" hidden="1" x14ac:dyDescent="0.2">
      <c r="B108" s="350"/>
      <c r="C108" s="312" t="s">
        <v>140</v>
      </c>
      <c r="D108" s="80" t="s">
        <v>101</v>
      </c>
      <c r="E108" s="239">
        <v>46099</v>
      </c>
      <c r="F108" s="239">
        <v>46099</v>
      </c>
      <c r="G108" s="256">
        <v>1</v>
      </c>
      <c r="H108" s="181">
        <v>7</v>
      </c>
      <c r="I108" s="243">
        <v>6</v>
      </c>
      <c r="J108" s="15">
        <f>I108/H108*100</f>
        <v>85.714285714285708</v>
      </c>
      <c r="K108" s="49"/>
      <c r="L108" s="252"/>
      <c r="M108" s="253"/>
      <c r="N108" s="113"/>
      <c r="O108" s="254">
        <f t="shared" ref="O108:O113" si="27">H108</f>
        <v>7</v>
      </c>
      <c r="P108" s="40"/>
      <c r="Q108" s="193">
        <f>P108/O108*100</f>
        <v>0</v>
      </c>
      <c r="R108" s="204"/>
      <c r="S108" s="113"/>
      <c r="T108" s="113"/>
      <c r="U108" s="113"/>
      <c r="V108" s="9">
        <f>O108</f>
        <v>7</v>
      </c>
      <c r="W108" s="96"/>
      <c r="X108" s="15">
        <f>W108/V108*100</f>
        <v>0</v>
      </c>
      <c r="Y108" s="49"/>
    </row>
    <row r="109" spans="2:25" hidden="1" x14ac:dyDescent="0.2">
      <c r="B109" s="350"/>
      <c r="C109" s="312"/>
      <c r="D109" s="80" t="s">
        <v>102</v>
      </c>
      <c r="E109" s="142">
        <v>46078</v>
      </c>
      <c r="F109" s="142">
        <v>46078</v>
      </c>
      <c r="G109" s="14">
        <v>1</v>
      </c>
      <c r="H109" s="181">
        <v>3</v>
      </c>
      <c r="I109" s="180">
        <v>3</v>
      </c>
      <c r="J109" s="16">
        <f t="shared" ref="J109:J123" si="28">I109/H109*100</f>
        <v>100</v>
      </c>
      <c r="K109" s="50"/>
      <c r="L109" s="142">
        <v>46033</v>
      </c>
      <c r="M109" s="142">
        <v>46033</v>
      </c>
      <c r="N109" s="14">
        <v>1</v>
      </c>
      <c r="O109" s="143">
        <f t="shared" si="27"/>
        <v>3</v>
      </c>
      <c r="P109" s="144">
        <v>3</v>
      </c>
      <c r="Q109" s="190">
        <f t="shared" ref="Q109:Q123" si="29">P109/O109*100</f>
        <v>100</v>
      </c>
      <c r="R109" s="205"/>
      <c r="S109" s="114"/>
      <c r="T109" s="114"/>
      <c r="U109" s="114"/>
      <c r="V109" s="7">
        <f t="shared" ref="V109:V122" si="30">O109</f>
        <v>3</v>
      </c>
      <c r="W109" s="94"/>
      <c r="X109" s="16">
        <f t="shared" ref="X109:X123" si="31">W109/V109*100</f>
        <v>0</v>
      </c>
      <c r="Y109" s="50"/>
    </row>
    <row r="110" spans="2:25" hidden="1" x14ac:dyDescent="0.2">
      <c r="B110" s="350"/>
      <c r="C110" s="312"/>
      <c r="D110" s="80" t="s">
        <v>104</v>
      </c>
      <c r="E110" s="142">
        <v>46078</v>
      </c>
      <c r="F110" s="142">
        <v>46078</v>
      </c>
      <c r="G110" s="14">
        <v>1</v>
      </c>
      <c r="H110" s="181">
        <v>6</v>
      </c>
      <c r="I110" s="180">
        <v>6</v>
      </c>
      <c r="J110" s="16">
        <f t="shared" si="28"/>
        <v>100</v>
      </c>
      <c r="K110" s="50"/>
      <c r="L110" s="142">
        <v>46033</v>
      </c>
      <c r="M110" s="142">
        <v>46033</v>
      </c>
      <c r="N110" s="14">
        <v>1</v>
      </c>
      <c r="O110" s="143">
        <f t="shared" si="27"/>
        <v>6</v>
      </c>
      <c r="P110" s="144">
        <v>5</v>
      </c>
      <c r="Q110" s="190">
        <f t="shared" si="29"/>
        <v>83.333333333333343</v>
      </c>
      <c r="R110" s="205"/>
      <c r="S110" s="114"/>
      <c r="T110" s="114"/>
      <c r="U110" s="114"/>
      <c r="V110" s="7">
        <f t="shared" si="30"/>
        <v>6</v>
      </c>
      <c r="W110" s="94"/>
      <c r="X110" s="16">
        <f t="shared" si="31"/>
        <v>0</v>
      </c>
      <c r="Y110" s="50"/>
    </row>
    <row r="111" spans="2:25" hidden="1" x14ac:dyDescent="0.2">
      <c r="B111" s="350"/>
      <c r="C111" s="312"/>
      <c r="D111" s="80" t="s">
        <v>97</v>
      </c>
      <c r="E111" s="142">
        <v>46049</v>
      </c>
      <c r="F111" s="142">
        <v>46049</v>
      </c>
      <c r="G111" s="14">
        <v>1</v>
      </c>
      <c r="H111" s="181">
        <v>9</v>
      </c>
      <c r="I111" s="180">
        <v>9</v>
      </c>
      <c r="J111" s="16">
        <f t="shared" si="28"/>
        <v>100</v>
      </c>
      <c r="K111" s="50"/>
      <c r="L111" s="142">
        <v>46028</v>
      </c>
      <c r="M111" s="142">
        <v>46028</v>
      </c>
      <c r="N111" s="14">
        <v>1</v>
      </c>
      <c r="O111" s="143">
        <f t="shared" si="27"/>
        <v>9</v>
      </c>
      <c r="P111" s="144">
        <v>9</v>
      </c>
      <c r="Q111" s="190">
        <f t="shared" si="29"/>
        <v>100</v>
      </c>
      <c r="R111" s="205"/>
      <c r="S111" s="114"/>
      <c r="T111" s="114"/>
      <c r="U111" s="114"/>
      <c r="V111" s="7">
        <f t="shared" si="30"/>
        <v>9</v>
      </c>
      <c r="W111" s="94"/>
      <c r="X111" s="16">
        <f t="shared" si="31"/>
        <v>0</v>
      </c>
      <c r="Y111" s="50"/>
    </row>
    <row r="112" spans="2:25" hidden="1" x14ac:dyDescent="0.2">
      <c r="B112" s="350"/>
      <c r="C112" s="312"/>
      <c r="D112" s="80" t="s">
        <v>16</v>
      </c>
      <c r="E112" s="142">
        <v>46049</v>
      </c>
      <c r="F112" s="142">
        <v>46049</v>
      </c>
      <c r="G112" s="14">
        <v>1</v>
      </c>
      <c r="H112" s="181">
        <v>8</v>
      </c>
      <c r="I112" s="180">
        <v>7</v>
      </c>
      <c r="J112" s="16">
        <f t="shared" si="28"/>
        <v>87.5</v>
      </c>
      <c r="K112" s="50"/>
      <c r="L112" s="142">
        <v>46033</v>
      </c>
      <c r="M112" s="142">
        <v>46033</v>
      </c>
      <c r="N112" s="14">
        <v>1</v>
      </c>
      <c r="O112" s="143">
        <f t="shared" si="27"/>
        <v>8</v>
      </c>
      <c r="P112" s="144">
        <v>8</v>
      </c>
      <c r="Q112" s="190">
        <f t="shared" si="29"/>
        <v>100</v>
      </c>
      <c r="R112" s="205"/>
      <c r="S112" s="114"/>
      <c r="T112" s="114"/>
      <c r="U112" s="114"/>
      <c r="V112" s="7">
        <f t="shared" si="30"/>
        <v>8</v>
      </c>
      <c r="W112" s="94"/>
      <c r="X112" s="16">
        <f t="shared" si="31"/>
        <v>0</v>
      </c>
      <c r="Y112" s="50"/>
    </row>
    <row r="113" spans="2:25" hidden="1" x14ac:dyDescent="0.2">
      <c r="B113" s="350"/>
      <c r="C113" s="312"/>
      <c r="D113" s="80" t="s">
        <v>15</v>
      </c>
      <c r="E113" s="142">
        <v>46043</v>
      </c>
      <c r="F113" s="142">
        <v>46043</v>
      </c>
      <c r="G113" s="14">
        <v>1</v>
      </c>
      <c r="H113" s="181">
        <v>2</v>
      </c>
      <c r="I113" s="180">
        <v>2</v>
      </c>
      <c r="J113" s="16">
        <f t="shared" si="28"/>
        <v>100</v>
      </c>
      <c r="K113" s="50"/>
      <c r="L113" s="114"/>
      <c r="M113" s="114"/>
      <c r="N113" s="114"/>
      <c r="O113" s="24">
        <f t="shared" si="27"/>
        <v>2</v>
      </c>
      <c r="P113" s="38"/>
      <c r="Q113" s="190">
        <f t="shared" si="29"/>
        <v>0</v>
      </c>
      <c r="R113" s="205"/>
      <c r="S113" s="114"/>
      <c r="T113" s="114"/>
      <c r="U113" s="114"/>
      <c r="V113" s="7">
        <f t="shared" si="30"/>
        <v>2</v>
      </c>
      <c r="W113" s="94"/>
      <c r="X113" s="16">
        <f t="shared" si="31"/>
        <v>0</v>
      </c>
      <c r="Y113" s="50"/>
    </row>
    <row r="114" spans="2:25" hidden="1" x14ac:dyDescent="0.2">
      <c r="B114" s="350"/>
      <c r="C114" s="312"/>
      <c r="D114" s="81" t="s">
        <v>14</v>
      </c>
      <c r="E114" s="238">
        <v>46043</v>
      </c>
      <c r="F114" s="238">
        <v>46043</v>
      </c>
      <c r="G114" s="245">
        <v>1</v>
      </c>
      <c r="H114" s="181">
        <v>7</v>
      </c>
      <c r="I114" s="158">
        <v>5</v>
      </c>
      <c r="J114" s="16">
        <f t="shared" si="28"/>
        <v>71.428571428571431</v>
      </c>
      <c r="K114" s="50"/>
      <c r="L114" s="115"/>
      <c r="M114" s="115"/>
      <c r="N114" s="115"/>
      <c r="O114" s="24">
        <f t="shared" ref="O114:O121" si="32">H114</f>
        <v>7</v>
      </c>
      <c r="P114" s="39"/>
      <c r="Q114" s="190">
        <f t="shared" si="29"/>
        <v>0</v>
      </c>
      <c r="R114" s="205"/>
      <c r="S114" s="115"/>
      <c r="T114" s="115"/>
      <c r="U114" s="115"/>
      <c r="V114" s="7">
        <f t="shared" si="30"/>
        <v>7</v>
      </c>
      <c r="W114" s="95"/>
      <c r="X114" s="16">
        <f t="shared" si="31"/>
        <v>0</v>
      </c>
      <c r="Y114" s="50"/>
    </row>
    <row r="115" spans="2:25" hidden="1" x14ac:dyDescent="0.2">
      <c r="B115" s="350"/>
      <c r="C115" s="312"/>
      <c r="D115" s="80" t="s">
        <v>26</v>
      </c>
      <c r="E115" s="246">
        <v>46043</v>
      </c>
      <c r="F115" s="246">
        <v>46043</v>
      </c>
      <c r="G115" s="247"/>
      <c r="H115" s="163">
        <v>10</v>
      </c>
      <c r="I115" s="164">
        <v>6</v>
      </c>
      <c r="J115" s="16">
        <f t="shared" si="28"/>
        <v>60</v>
      </c>
      <c r="K115" s="50">
        <v>1</v>
      </c>
      <c r="L115" s="114"/>
      <c r="M115" s="114"/>
      <c r="N115" s="114"/>
      <c r="O115" s="24">
        <f t="shared" si="32"/>
        <v>10</v>
      </c>
      <c r="P115" s="38"/>
      <c r="Q115" s="190">
        <f t="shared" si="29"/>
        <v>0</v>
      </c>
      <c r="R115" s="205"/>
      <c r="S115" s="114"/>
      <c r="T115" s="114"/>
      <c r="U115" s="114"/>
      <c r="V115" s="7">
        <f t="shared" si="30"/>
        <v>10</v>
      </c>
      <c r="W115" s="94"/>
      <c r="X115" s="16">
        <f t="shared" si="31"/>
        <v>0</v>
      </c>
      <c r="Y115" s="50"/>
    </row>
    <row r="116" spans="2:25" x14ac:dyDescent="0.2">
      <c r="B116" s="350"/>
      <c r="C116" s="312"/>
      <c r="D116" s="80" t="s">
        <v>13</v>
      </c>
      <c r="E116" s="289">
        <v>46128</v>
      </c>
      <c r="F116" s="114"/>
      <c r="G116" s="114"/>
      <c r="H116" s="7">
        <v>15</v>
      </c>
      <c r="I116" s="94"/>
      <c r="J116" s="16">
        <f t="shared" si="28"/>
        <v>0</v>
      </c>
      <c r="K116" s="50"/>
      <c r="L116" s="114"/>
      <c r="M116" s="114"/>
      <c r="N116" s="114"/>
      <c r="O116" s="24">
        <f t="shared" si="32"/>
        <v>15</v>
      </c>
      <c r="P116" s="38"/>
      <c r="Q116" s="190">
        <f t="shared" si="29"/>
        <v>0</v>
      </c>
      <c r="R116" s="205"/>
      <c r="S116" s="114"/>
      <c r="T116" s="114"/>
      <c r="U116" s="114"/>
      <c r="V116" s="7">
        <f t="shared" si="30"/>
        <v>15</v>
      </c>
      <c r="W116" s="94"/>
      <c r="X116" s="16">
        <f t="shared" si="31"/>
        <v>0</v>
      </c>
      <c r="Y116" s="50"/>
    </row>
    <row r="117" spans="2:25" ht="16" thickBot="1" x14ac:dyDescent="0.25">
      <c r="B117" s="350"/>
      <c r="C117" s="313"/>
      <c r="D117" s="80" t="s">
        <v>100</v>
      </c>
      <c r="E117" s="289">
        <v>46128</v>
      </c>
      <c r="F117" s="114"/>
      <c r="G117" s="114"/>
      <c r="H117" s="7">
        <v>9</v>
      </c>
      <c r="I117" s="94">
        <v>2</v>
      </c>
      <c r="J117" s="16">
        <f t="shared" si="28"/>
        <v>22.222222222222221</v>
      </c>
      <c r="K117" s="50"/>
      <c r="L117" s="114"/>
      <c r="M117" s="114"/>
      <c r="N117" s="114"/>
      <c r="O117" s="24">
        <f t="shared" si="32"/>
        <v>9</v>
      </c>
      <c r="P117" s="38"/>
      <c r="Q117" s="190">
        <f t="shared" si="29"/>
        <v>0</v>
      </c>
      <c r="R117" s="205"/>
      <c r="S117" s="114"/>
      <c r="T117" s="114"/>
      <c r="U117" s="114"/>
      <c r="V117" s="7">
        <f t="shared" si="30"/>
        <v>9</v>
      </c>
      <c r="W117" s="94"/>
      <c r="X117" s="16">
        <f t="shared" si="31"/>
        <v>0</v>
      </c>
      <c r="Y117" s="50"/>
    </row>
    <row r="118" spans="2:25" ht="16" hidden="1" thickBot="1" x14ac:dyDescent="0.25">
      <c r="B118" s="350"/>
      <c r="C118" s="313"/>
      <c r="D118" s="80" t="s">
        <v>103</v>
      </c>
      <c r="E118" s="142">
        <v>46078</v>
      </c>
      <c r="F118" s="142">
        <v>46078</v>
      </c>
      <c r="G118" s="14">
        <v>1</v>
      </c>
      <c r="H118" s="181">
        <v>8</v>
      </c>
      <c r="I118" s="180">
        <v>8</v>
      </c>
      <c r="J118" s="16">
        <f t="shared" si="28"/>
        <v>100</v>
      </c>
      <c r="K118" s="50"/>
      <c r="L118" s="142">
        <v>46082</v>
      </c>
      <c r="M118" s="142">
        <v>46082</v>
      </c>
      <c r="N118" s="14">
        <v>1</v>
      </c>
      <c r="O118" s="143">
        <f t="shared" si="32"/>
        <v>8</v>
      </c>
      <c r="P118" s="144">
        <v>8</v>
      </c>
      <c r="Q118" s="190">
        <f t="shared" si="29"/>
        <v>100</v>
      </c>
      <c r="R118" s="205"/>
      <c r="S118" s="114"/>
      <c r="T118" s="114"/>
      <c r="U118" s="114"/>
      <c r="V118" s="7">
        <f t="shared" si="30"/>
        <v>8</v>
      </c>
      <c r="W118" s="94"/>
      <c r="X118" s="16">
        <f t="shared" si="31"/>
        <v>0</v>
      </c>
      <c r="Y118" s="50"/>
    </row>
    <row r="119" spans="2:25" ht="16" hidden="1" thickBot="1" x14ac:dyDescent="0.25">
      <c r="B119" s="350"/>
      <c r="C119" s="313"/>
      <c r="D119" s="80" t="s">
        <v>98</v>
      </c>
      <c r="E119" s="142">
        <v>46099</v>
      </c>
      <c r="F119" s="142">
        <v>46099</v>
      </c>
      <c r="G119" s="14">
        <v>1</v>
      </c>
      <c r="H119" s="181">
        <v>10</v>
      </c>
      <c r="I119" s="180">
        <v>9</v>
      </c>
      <c r="J119" s="16">
        <f t="shared" si="28"/>
        <v>90</v>
      </c>
      <c r="K119" s="50"/>
      <c r="L119" s="142">
        <v>46082</v>
      </c>
      <c r="M119" s="142">
        <v>46082</v>
      </c>
      <c r="N119" s="14">
        <v>1</v>
      </c>
      <c r="O119" s="143">
        <f t="shared" si="32"/>
        <v>10</v>
      </c>
      <c r="P119" s="144">
        <v>10</v>
      </c>
      <c r="Q119" s="190">
        <f t="shared" si="29"/>
        <v>100</v>
      </c>
      <c r="R119" s="205"/>
      <c r="S119" s="114"/>
      <c r="T119" s="114"/>
      <c r="U119" s="114"/>
      <c r="V119" s="7">
        <f t="shared" si="30"/>
        <v>10</v>
      </c>
      <c r="W119" s="94"/>
      <c r="X119" s="16">
        <f t="shared" si="31"/>
        <v>0</v>
      </c>
      <c r="Y119" s="50"/>
    </row>
    <row r="120" spans="2:25" ht="16" hidden="1" thickBot="1" x14ac:dyDescent="0.25">
      <c r="B120" s="350"/>
      <c r="C120" s="313"/>
      <c r="D120" s="6" t="s">
        <v>96</v>
      </c>
      <c r="E120" s="239">
        <v>46049</v>
      </c>
      <c r="F120" s="239">
        <v>46049</v>
      </c>
      <c r="G120" s="256">
        <v>1</v>
      </c>
      <c r="H120" s="181">
        <v>7</v>
      </c>
      <c r="I120" s="243">
        <v>6</v>
      </c>
      <c r="J120" s="16">
        <f t="shared" si="28"/>
        <v>85.714285714285708</v>
      </c>
      <c r="K120" s="50"/>
      <c r="L120" s="239">
        <v>46082</v>
      </c>
      <c r="M120" s="239">
        <v>46082</v>
      </c>
      <c r="N120" s="256">
        <v>1</v>
      </c>
      <c r="O120" s="143">
        <f t="shared" si="32"/>
        <v>7</v>
      </c>
      <c r="P120" s="278">
        <v>7</v>
      </c>
      <c r="Q120" s="190">
        <f t="shared" si="29"/>
        <v>100</v>
      </c>
      <c r="R120" s="205"/>
      <c r="S120" s="113"/>
      <c r="T120" s="113"/>
      <c r="U120" s="113"/>
      <c r="V120" s="7">
        <f t="shared" si="30"/>
        <v>7</v>
      </c>
      <c r="W120" s="96"/>
      <c r="X120" s="16">
        <f t="shared" si="31"/>
        <v>0</v>
      </c>
      <c r="Y120" s="50"/>
    </row>
    <row r="121" spans="2:25" ht="16" hidden="1" thickBot="1" x14ac:dyDescent="0.25">
      <c r="B121" s="350"/>
      <c r="C121" s="313"/>
      <c r="D121" s="81" t="s">
        <v>99</v>
      </c>
      <c r="E121" s="238">
        <v>46049</v>
      </c>
      <c r="F121" s="238">
        <v>46049</v>
      </c>
      <c r="G121" s="245">
        <v>1</v>
      </c>
      <c r="H121" s="181">
        <v>8</v>
      </c>
      <c r="I121" s="158">
        <v>6</v>
      </c>
      <c r="J121" s="17">
        <f t="shared" si="28"/>
        <v>75</v>
      </c>
      <c r="K121" s="51"/>
      <c r="L121" s="238">
        <v>46082</v>
      </c>
      <c r="M121" s="238">
        <v>46082</v>
      </c>
      <c r="N121" s="245">
        <v>1</v>
      </c>
      <c r="O121" s="143">
        <f t="shared" si="32"/>
        <v>8</v>
      </c>
      <c r="P121" s="279">
        <v>7</v>
      </c>
      <c r="Q121" s="191">
        <f t="shared" si="29"/>
        <v>87.5</v>
      </c>
      <c r="R121" s="206"/>
      <c r="S121" s="115"/>
      <c r="T121" s="115"/>
      <c r="U121" s="115"/>
      <c r="V121" s="8">
        <f t="shared" si="30"/>
        <v>8</v>
      </c>
      <c r="W121" s="95"/>
      <c r="X121" s="17">
        <f t="shared" si="31"/>
        <v>0</v>
      </c>
      <c r="Y121" s="51"/>
    </row>
    <row r="122" spans="2:25" ht="17" hidden="1" thickTop="1" thickBot="1" x14ac:dyDescent="0.25">
      <c r="B122" s="350"/>
      <c r="C122" s="314"/>
      <c r="D122" s="86" t="s">
        <v>132</v>
      </c>
      <c r="E122" s="132"/>
      <c r="F122" s="117"/>
      <c r="G122" s="117"/>
      <c r="H122" s="10">
        <v>10</v>
      </c>
      <c r="I122" s="99"/>
      <c r="J122" s="18">
        <f t="shared" si="28"/>
        <v>0</v>
      </c>
      <c r="K122" s="57"/>
      <c r="L122" s="248"/>
      <c r="M122" s="249"/>
      <c r="N122" s="116"/>
      <c r="O122" s="250">
        <f>H122</f>
        <v>10</v>
      </c>
      <c r="P122" s="251"/>
      <c r="Q122" s="116">
        <f t="shared" si="29"/>
        <v>0</v>
      </c>
      <c r="R122" s="207"/>
      <c r="S122" s="117"/>
      <c r="T122" s="117"/>
      <c r="U122" s="117"/>
      <c r="V122" s="10">
        <f t="shared" si="30"/>
        <v>10</v>
      </c>
      <c r="W122" s="99"/>
      <c r="X122" s="18">
        <f t="shared" si="31"/>
        <v>0</v>
      </c>
      <c r="Y122" s="208"/>
    </row>
    <row r="123" spans="2:25" ht="17" hidden="1" thickTop="1" thickBot="1" x14ac:dyDescent="0.25">
      <c r="B123" s="351"/>
      <c r="C123" s="333" t="s">
        <v>179</v>
      </c>
      <c r="D123" s="331"/>
      <c r="E123" s="331"/>
      <c r="F123" s="344"/>
      <c r="G123" s="69">
        <f>G108+G109+G110+G111+G112+G113+G114+G115+G116+G117+G118+G119+G120+G121+G122</f>
        <v>11</v>
      </c>
      <c r="H123" s="67">
        <f>H108+H109+H110+H111+H112+H113+H114+H115+H116+H117+H118+H119+H120+H121+H122</f>
        <v>119</v>
      </c>
      <c r="I123" s="67">
        <f>I108+I109+I110+I111+I112+I113+I114+I115+I116+I117+I118+I119+I120+I121+I122</f>
        <v>75</v>
      </c>
      <c r="J123" s="100">
        <f t="shared" si="28"/>
        <v>63.02521008403361</v>
      </c>
      <c r="K123" s="78"/>
      <c r="L123" s="66"/>
      <c r="M123" s="66"/>
      <c r="N123" s="66">
        <f t="shared" ref="N123:W123" si="33">N108+N109+N110+N111+N112+N113+N114+N115+N116+N117+N118+N119+N120+N121+N122</f>
        <v>8</v>
      </c>
      <c r="O123" s="67">
        <f t="shared" si="33"/>
        <v>119</v>
      </c>
      <c r="P123" s="68">
        <f t="shared" si="33"/>
        <v>57</v>
      </c>
      <c r="Q123" s="192">
        <f t="shared" si="29"/>
        <v>47.899159663865547</v>
      </c>
      <c r="R123" s="69"/>
      <c r="S123" s="69"/>
      <c r="T123" s="69"/>
      <c r="U123" s="69">
        <f t="shared" si="33"/>
        <v>0</v>
      </c>
      <c r="V123" s="67">
        <f t="shared" si="33"/>
        <v>119</v>
      </c>
      <c r="W123" s="70">
        <f t="shared" si="33"/>
        <v>0</v>
      </c>
      <c r="X123" s="100">
        <f t="shared" si="31"/>
        <v>0</v>
      </c>
      <c r="Y123" s="209"/>
    </row>
    <row r="124" spans="2:25" ht="15" hidden="1" customHeight="1" thickTop="1" x14ac:dyDescent="0.25">
      <c r="B124" s="350"/>
      <c r="C124" s="315" t="s">
        <v>170</v>
      </c>
      <c r="D124" s="80" t="s">
        <v>9</v>
      </c>
      <c r="E124" s="160">
        <v>46043</v>
      </c>
      <c r="F124" s="160">
        <v>46043</v>
      </c>
      <c r="G124" s="240">
        <v>1</v>
      </c>
      <c r="H124" s="179">
        <v>13</v>
      </c>
      <c r="I124" s="243">
        <v>12</v>
      </c>
      <c r="J124" s="15">
        <f>I124/H124*100</f>
        <v>92.307692307692307</v>
      </c>
      <c r="K124" s="49"/>
      <c r="L124" s="92"/>
      <c r="M124" s="92"/>
      <c r="N124" s="92"/>
      <c r="O124" s="33">
        <f>H124</f>
        <v>13</v>
      </c>
      <c r="P124" s="20"/>
      <c r="Q124" s="193">
        <f>P124/O124*100</f>
        <v>0</v>
      </c>
      <c r="R124" s="204"/>
      <c r="S124" s="92"/>
      <c r="T124" s="92"/>
      <c r="U124" s="92"/>
      <c r="V124" s="9">
        <f>O124</f>
        <v>13</v>
      </c>
      <c r="W124" s="96"/>
      <c r="X124" s="15">
        <f>W124/V124*100</f>
        <v>0</v>
      </c>
      <c r="Y124" s="49"/>
    </row>
    <row r="125" spans="2:25" ht="16" hidden="1" thickBot="1" x14ac:dyDescent="0.25">
      <c r="B125" s="350"/>
      <c r="C125" s="316"/>
      <c r="D125" s="81" t="s">
        <v>110</v>
      </c>
      <c r="E125" s="161">
        <v>46043</v>
      </c>
      <c r="F125" s="161">
        <v>46043</v>
      </c>
      <c r="G125" s="31">
        <v>1</v>
      </c>
      <c r="H125" s="181">
        <v>5</v>
      </c>
      <c r="I125" s="158">
        <v>4</v>
      </c>
      <c r="J125" s="16">
        <f t="shared" ref="J125:J131" si="34">I125/H125*100</f>
        <v>80</v>
      </c>
      <c r="K125" s="50"/>
      <c r="L125" s="91"/>
      <c r="M125" s="91"/>
      <c r="N125" s="91"/>
      <c r="O125" s="33">
        <f t="shared" ref="O125:O130" si="35">H125</f>
        <v>5</v>
      </c>
      <c r="P125" s="22"/>
      <c r="Q125" s="190">
        <f t="shared" ref="Q125:Q130" si="36">P125/O125*100</f>
        <v>0</v>
      </c>
      <c r="R125" s="205"/>
      <c r="S125" s="91"/>
      <c r="T125" s="91"/>
      <c r="U125" s="91"/>
      <c r="V125" s="7">
        <f t="shared" ref="V125:V131" si="37">O125</f>
        <v>5</v>
      </c>
      <c r="W125" s="95"/>
      <c r="X125" s="16">
        <f t="shared" ref="X125:X131" si="38">W125/V125*100</f>
        <v>0</v>
      </c>
      <c r="Y125" s="50"/>
    </row>
    <row r="126" spans="2:25" ht="16" hidden="1" thickBot="1" x14ac:dyDescent="0.25">
      <c r="B126" s="350"/>
      <c r="C126" s="316"/>
      <c r="D126" s="80" t="s">
        <v>106</v>
      </c>
      <c r="E126" s="159">
        <v>46056</v>
      </c>
      <c r="F126" s="159">
        <v>46056</v>
      </c>
      <c r="G126" s="178">
        <v>1</v>
      </c>
      <c r="H126" s="181">
        <v>12</v>
      </c>
      <c r="I126" s="180">
        <v>10</v>
      </c>
      <c r="J126" s="16">
        <f t="shared" si="34"/>
        <v>83.333333333333343</v>
      </c>
      <c r="K126" s="50"/>
      <c r="L126" s="48"/>
      <c r="M126" s="48"/>
      <c r="N126" s="48"/>
      <c r="O126" s="33">
        <f t="shared" si="35"/>
        <v>12</v>
      </c>
      <c r="P126" s="21"/>
      <c r="Q126" s="190">
        <f t="shared" si="36"/>
        <v>0</v>
      </c>
      <c r="R126" s="205"/>
      <c r="S126" s="48"/>
      <c r="T126" s="48"/>
      <c r="U126" s="48"/>
      <c r="V126" s="7">
        <f t="shared" si="37"/>
        <v>12</v>
      </c>
      <c r="W126" s="94"/>
      <c r="X126" s="16">
        <f t="shared" si="38"/>
        <v>0</v>
      </c>
      <c r="Y126" s="50"/>
    </row>
    <row r="127" spans="2:25" ht="16" hidden="1" thickBot="1" x14ac:dyDescent="0.25">
      <c r="B127" s="350"/>
      <c r="C127" s="316"/>
      <c r="D127" s="80" t="s">
        <v>107</v>
      </c>
      <c r="E127" s="159">
        <v>46056</v>
      </c>
      <c r="F127" s="159">
        <v>46056</v>
      </c>
      <c r="G127" s="178">
        <v>1</v>
      </c>
      <c r="H127" s="181">
        <v>10</v>
      </c>
      <c r="I127" s="180">
        <v>9</v>
      </c>
      <c r="J127" s="16">
        <f t="shared" si="34"/>
        <v>90</v>
      </c>
      <c r="K127" s="50"/>
      <c r="L127" s="48"/>
      <c r="M127" s="48"/>
      <c r="N127" s="48"/>
      <c r="O127" s="33">
        <f t="shared" si="35"/>
        <v>10</v>
      </c>
      <c r="P127" s="21"/>
      <c r="Q127" s="190">
        <f t="shared" si="36"/>
        <v>0</v>
      </c>
      <c r="R127" s="205"/>
      <c r="S127" s="48"/>
      <c r="T127" s="48"/>
      <c r="U127" s="48"/>
      <c r="V127" s="7">
        <f t="shared" si="37"/>
        <v>10</v>
      </c>
      <c r="W127" s="94"/>
      <c r="X127" s="16">
        <f t="shared" si="38"/>
        <v>0</v>
      </c>
      <c r="Y127" s="50"/>
    </row>
    <row r="128" spans="2:25" ht="16" hidden="1" thickBot="1" x14ac:dyDescent="0.25">
      <c r="B128" s="350"/>
      <c r="C128" s="316"/>
      <c r="D128" s="6" t="s">
        <v>105</v>
      </c>
      <c r="E128" s="160">
        <v>46029</v>
      </c>
      <c r="F128" s="160">
        <v>46029</v>
      </c>
      <c r="G128" s="240">
        <v>1</v>
      </c>
      <c r="H128" s="181">
        <v>12</v>
      </c>
      <c r="I128" s="243">
        <v>11</v>
      </c>
      <c r="J128" s="16">
        <f t="shared" si="34"/>
        <v>91.666666666666657</v>
      </c>
      <c r="K128" s="50"/>
      <c r="L128" s="92"/>
      <c r="M128" s="92"/>
      <c r="N128" s="92"/>
      <c r="O128" s="33">
        <f t="shared" si="35"/>
        <v>12</v>
      </c>
      <c r="P128" s="20"/>
      <c r="Q128" s="190">
        <f t="shared" si="36"/>
        <v>0</v>
      </c>
      <c r="R128" s="205"/>
      <c r="S128" s="92"/>
      <c r="T128" s="92"/>
      <c r="U128" s="92"/>
      <c r="V128" s="7">
        <f t="shared" si="37"/>
        <v>12</v>
      </c>
      <c r="W128" s="96"/>
      <c r="X128" s="16">
        <f t="shared" si="38"/>
        <v>0</v>
      </c>
      <c r="Y128" s="50"/>
    </row>
    <row r="129" spans="2:25" ht="16" hidden="1" thickBot="1" x14ac:dyDescent="0.25">
      <c r="B129" s="350"/>
      <c r="C129" s="316"/>
      <c r="D129" s="80" t="s">
        <v>109</v>
      </c>
      <c r="E129" s="159">
        <v>46029</v>
      </c>
      <c r="F129" s="159">
        <v>46029</v>
      </c>
      <c r="G129" s="178">
        <v>1</v>
      </c>
      <c r="H129" s="181">
        <v>7</v>
      </c>
      <c r="I129" s="180">
        <v>6</v>
      </c>
      <c r="J129" s="16">
        <f t="shared" si="34"/>
        <v>85.714285714285708</v>
      </c>
      <c r="K129" s="50"/>
      <c r="L129" s="48"/>
      <c r="M129" s="48"/>
      <c r="N129" s="48"/>
      <c r="O129" s="33">
        <f t="shared" si="35"/>
        <v>7</v>
      </c>
      <c r="P129" s="21"/>
      <c r="Q129" s="190">
        <f t="shared" si="36"/>
        <v>0</v>
      </c>
      <c r="R129" s="205"/>
      <c r="S129" s="48"/>
      <c r="T129" s="48"/>
      <c r="U129" s="48"/>
      <c r="V129" s="7">
        <f t="shared" si="37"/>
        <v>7</v>
      </c>
      <c r="W129" s="94"/>
      <c r="X129" s="16">
        <f t="shared" si="38"/>
        <v>0</v>
      </c>
      <c r="Y129" s="50"/>
    </row>
    <row r="130" spans="2:25" ht="16" hidden="1" thickBot="1" x14ac:dyDescent="0.25">
      <c r="B130" s="350"/>
      <c r="C130" s="316"/>
      <c r="D130" s="81" t="s">
        <v>108</v>
      </c>
      <c r="E130" s="161">
        <v>46029</v>
      </c>
      <c r="F130" s="161">
        <v>46029</v>
      </c>
      <c r="G130" s="31">
        <v>1</v>
      </c>
      <c r="H130" s="157">
        <v>7</v>
      </c>
      <c r="I130" s="158">
        <v>5</v>
      </c>
      <c r="J130" s="17">
        <f t="shared" si="34"/>
        <v>71.428571428571431</v>
      </c>
      <c r="K130" s="51"/>
      <c r="L130" s="91"/>
      <c r="M130" s="91"/>
      <c r="N130" s="91"/>
      <c r="O130" s="33">
        <f t="shared" si="35"/>
        <v>7</v>
      </c>
      <c r="P130" s="22"/>
      <c r="Q130" s="191">
        <f t="shared" si="36"/>
        <v>0</v>
      </c>
      <c r="R130" s="206"/>
      <c r="S130" s="91"/>
      <c r="T130" s="91"/>
      <c r="U130" s="91"/>
      <c r="V130" s="8">
        <f t="shared" si="37"/>
        <v>7</v>
      </c>
      <c r="W130" s="95"/>
      <c r="X130" s="17">
        <f t="shared" si="38"/>
        <v>0</v>
      </c>
      <c r="Y130" s="51"/>
    </row>
    <row r="131" spans="2:25" ht="17" hidden="1" thickTop="1" thickBot="1" x14ac:dyDescent="0.25">
      <c r="B131" s="351"/>
      <c r="C131" s="317"/>
      <c r="D131" s="86" t="s">
        <v>132</v>
      </c>
      <c r="E131" s="117"/>
      <c r="F131" s="117"/>
      <c r="G131" s="117"/>
      <c r="H131" s="10">
        <v>13</v>
      </c>
      <c r="I131" s="99">
        <v>5</v>
      </c>
      <c r="J131" s="18">
        <f t="shared" si="34"/>
        <v>38.461538461538467</v>
      </c>
      <c r="K131" s="57"/>
      <c r="L131" s="98"/>
      <c r="M131" s="98"/>
      <c r="N131" s="98"/>
      <c r="O131" s="34">
        <f>H131</f>
        <v>13</v>
      </c>
      <c r="P131" s="23"/>
      <c r="Q131" s="116">
        <f>P131/O131*100</f>
        <v>0</v>
      </c>
      <c r="R131" s="207"/>
      <c r="S131" s="117"/>
      <c r="T131" s="117"/>
      <c r="U131" s="117"/>
      <c r="V131" s="10">
        <f t="shared" si="37"/>
        <v>13</v>
      </c>
      <c r="W131" s="99"/>
      <c r="X131" s="18">
        <f t="shared" si="38"/>
        <v>0</v>
      </c>
      <c r="Y131" s="208"/>
    </row>
    <row r="132" spans="2:25" ht="17" hidden="1" thickTop="1" thickBot="1" x14ac:dyDescent="0.25">
      <c r="B132" s="351"/>
      <c r="C132" s="333" t="s">
        <v>180</v>
      </c>
      <c r="D132" s="331"/>
      <c r="E132" s="331"/>
      <c r="F132" s="345"/>
      <c r="G132" s="12">
        <f>G124+G125+G126+G127+G128+G129+G130+G131</f>
        <v>7</v>
      </c>
      <c r="H132" s="12">
        <f>H124+H125+H126+H127+H128+H129+H130+H131</f>
        <v>79</v>
      </c>
      <c r="I132" s="12">
        <f>I124+I125+I126+I127+I128+I129+I130+I131</f>
        <v>62</v>
      </c>
      <c r="J132" s="12">
        <f>I132/H132*100</f>
        <v>78.48101265822784</v>
      </c>
      <c r="K132" s="30"/>
      <c r="L132" s="12"/>
      <c r="M132" s="12"/>
      <c r="N132" s="12">
        <f>N124+N125+N126+N127+N128+N129+N130+N131</f>
        <v>0</v>
      </c>
      <c r="O132" s="12">
        <f t="shared" ref="O132:X132" si="39">O124+O125+O126+O127+O128+O129+O130+O131</f>
        <v>79</v>
      </c>
      <c r="P132" s="12">
        <f t="shared" si="39"/>
        <v>0</v>
      </c>
      <c r="Q132" s="12">
        <f>P132/O132*100</f>
        <v>0</v>
      </c>
      <c r="R132" s="212"/>
      <c r="S132" s="12"/>
      <c r="T132" s="12"/>
      <c r="U132" s="12">
        <f t="shared" si="39"/>
        <v>0</v>
      </c>
      <c r="V132" s="12">
        <f t="shared" si="39"/>
        <v>79</v>
      </c>
      <c r="W132" s="12">
        <f t="shared" si="39"/>
        <v>0</v>
      </c>
      <c r="X132" s="12">
        <f t="shared" si="39"/>
        <v>0</v>
      </c>
      <c r="Y132" s="131"/>
    </row>
    <row r="133" spans="2:25" ht="15" customHeight="1" thickTop="1" x14ac:dyDescent="0.2">
      <c r="B133" s="351"/>
      <c r="C133" s="318" t="s">
        <v>171</v>
      </c>
      <c r="D133" s="6" t="s">
        <v>122</v>
      </c>
      <c r="E133" s="290">
        <v>46139</v>
      </c>
      <c r="F133" s="92"/>
      <c r="G133" s="92"/>
      <c r="H133" s="7">
        <v>8</v>
      </c>
      <c r="I133" s="96"/>
      <c r="J133" s="15">
        <f>I133/H133*100</f>
        <v>0</v>
      </c>
      <c r="K133" s="49"/>
      <c r="L133" s="92"/>
      <c r="M133" s="92"/>
      <c r="N133" s="92"/>
      <c r="O133" s="33">
        <f>H133</f>
        <v>8</v>
      </c>
      <c r="P133" s="20"/>
      <c r="Q133" s="193">
        <f>P133/O133*100</f>
        <v>0</v>
      </c>
      <c r="R133" s="204"/>
      <c r="S133" s="92"/>
      <c r="T133" s="92"/>
      <c r="U133" s="92"/>
      <c r="V133" s="7">
        <f t="shared" ref="V133:V154" si="40">O133</f>
        <v>8</v>
      </c>
      <c r="W133" s="96"/>
      <c r="X133" s="15">
        <f>W133/V133*100</f>
        <v>0</v>
      </c>
      <c r="Y133" s="49"/>
    </row>
    <row r="134" spans="2:25" hidden="1" x14ac:dyDescent="0.2">
      <c r="B134" s="351"/>
      <c r="C134" s="319"/>
      <c r="D134" s="81" t="s">
        <v>124</v>
      </c>
      <c r="E134" s="161">
        <v>46096</v>
      </c>
      <c r="F134" s="161">
        <v>46096</v>
      </c>
      <c r="G134" s="31">
        <v>1</v>
      </c>
      <c r="H134" s="181">
        <v>15</v>
      </c>
      <c r="I134" s="158">
        <v>13</v>
      </c>
      <c r="J134" s="16">
        <f t="shared" ref="J134:J154" si="41">I134/H134*100</f>
        <v>86.666666666666671</v>
      </c>
      <c r="K134" s="50"/>
      <c r="L134" s="91"/>
      <c r="M134" s="91"/>
      <c r="N134" s="91"/>
      <c r="O134" s="33">
        <f t="shared" ref="O134:O154" si="42">H134</f>
        <v>15</v>
      </c>
      <c r="P134" s="22"/>
      <c r="Q134" s="190">
        <f t="shared" ref="Q134:Q158" si="43">P134/O134*100</f>
        <v>0</v>
      </c>
      <c r="R134" s="205"/>
      <c r="S134" s="91"/>
      <c r="T134" s="91"/>
      <c r="U134" s="91"/>
      <c r="V134" s="7">
        <f t="shared" si="40"/>
        <v>15</v>
      </c>
      <c r="W134" s="95"/>
      <c r="X134" s="16">
        <f t="shared" ref="X134:X158" si="44">W134/V134*100</f>
        <v>0</v>
      </c>
      <c r="Y134" s="50"/>
    </row>
    <row r="135" spans="2:25" hidden="1" x14ac:dyDescent="0.2">
      <c r="B135" s="351"/>
      <c r="C135" s="319"/>
      <c r="D135" s="80" t="s">
        <v>123</v>
      </c>
      <c r="E135" s="159">
        <v>46103</v>
      </c>
      <c r="F135" s="291">
        <v>46103</v>
      </c>
      <c r="G135" s="178">
        <v>1</v>
      </c>
      <c r="H135" s="181">
        <v>10</v>
      </c>
      <c r="I135" s="180">
        <v>9</v>
      </c>
      <c r="J135" s="16">
        <f t="shared" si="41"/>
        <v>90</v>
      </c>
      <c r="K135" s="50"/>
      <c r="L135" s="48"/>
      <c r="M135" s="48"/>
      <c r="N135" s="48"/>
      <c r="O135" s="33">
        <f t="shared" si="42"/>
        <v>10</v>
      </c>
      <c r="P135" s="21"/>
      <c r="Q135" s="190">
        <f t="shared" si="43"/>
        <v>0</v>
      </c>
      <c r="R135" s="205"/>
      <c r="S135" s="48"/>
      <c r="T135" s="48"/>
      <c r="U135" s="48"/>
      <c r="V135" s="7">
        <f t="shared" si="40"/>
        <v>10</v>
      </c>
      <c r="W135" s="94"/>
      <c r="X135" s="16">
        <f t="shared" si="44"/>
        <v>0</v>
      </c>
      <c r="Y135" s="50"/>
    </row>
    <row r="136" spans="2:25" hidden="1" x14ac:dyDescent="0.2">
      <c r="B136" s="351"/>
      <c r="C136" s="319"/>
      <c r="D136" s="80" t="s">
        <v>111</v>
      </c>
      <c r="E136" s="159">
        <v>46037</v>
      </c>
      <c r="F136" s="159">
        <v>46037</v>
      </c>
      <c r="G136" s="178">
        <v>1</v>
      </c>
      <c r="H136" s="181">
        <v>9</v>
      </c>
      <c r="I136" s="180">
        <v>8</v>
      </c>
      <c r="J136" s="16">
        <f t="shared" si="41"/>
        <v>88.888888888888886</v>
      </c>
      <c r="K136" s="50"/>
      <c r="L136" s="159">
        <v>46064</v>
      </c>
      <c r="M136" s="159">
        <v>46064</v>
      </c>
      <c r="N136" s="178">
        <v>1</v>
      </c>
      <c r="O136" s="241">
        <f t="shared" si="42"/>
        <v>9</v>
      </c>
      <c r="P136" s="176">
        <v>8</v>
      </c>
      <c r="Q136" s="190">
        <f t="shared" si="43"/>
        <v>88.888888888888886</v>
      </c>
      <c r="R136" s="205"/>
      <c r="S136" s="48"/>
      <c r="T136" s="48"/>
      <c r="U136" s="48"/>
      <c r="V136" s="7">
        <f t="shared" si="40"/>
        <v>9</v>
      </c>
      <c r="W136" s="94"/>
      <c r="X136" s="16">
        <f t="shared" si="44"/>
        <v>0</v>
      </c>
      <c r="Y136" s="50"/>
    </row>
    <row r="137" spans="2:25" hidden="1" x14ac:dyDescent="0.2">
      <c r="B137" s="351"/>
      <c r="C137" s="319"/>
      <c r="D137" s="80" t="s">
        <v>114</v>
      </c>
      <c r="E137" s="159">
        <v>46037</v>
      </c>
      <c r="F137" s="159">
        <v>46037</v>
      </c>
      <c r="G137" s="178">
        <v>1</v>
      </c>
      <c r="H137" s="181">
        <v>6</v>
      </c>
      <c r="I137" s="180">
        <v>6</v>
      </c>
      <c r="J137" s="16">
        <f t="shared" si="41"/>
        <v>100</v>
      </c>
      <c r="K137" s="50"/>
      <c r="L137" s="159">
        <v>46064</v>
      </c>
      <c r="M137" s="159">
        <v>46064</v>
      </c>
      <c r="N137" s="178">
        <v>1</v>
      </c>
      <c r="O137" s="241">
        <f t="shared" si="42"/>
        <v>6</v>
      </c>
      <c r="P137" s="176">
        <v>6</v>
      </c>
      <c r="Q137" s="190">
        <f t="shared" si="43"/>
        <v>100</v>
      </c>
      <c r="R137" s="205"/>
      <c r="S137" s="48"/>
      <c r="T137" s="48"/>
      <c r="U137" s="48"/>
      <c r="V137" s="7">
        <f t="shared" si="40"/>
        <v>6</v>
      </c>
      <c r="W137" s="94"/>
      <c r="X137" s="16">
        <f t="shared" si="44"/>
        <v>0</v>
      </c>
      <c r="Y137" s="50"/>
    </row>
    <row r="138" spans="2:25" hidden="1" x14ac:dyDescent="0.2">
      <c r="B138" s="351"/>
      <c r="C138" s="319"/>
      <c r="D138" s="80" t="s">
        <v>121</v>
      </c>
      <c r="E138" s="159">
        <v>46037</v>
      </c>
      <c r="F138" s="159">
        <v>46037</v>
      </c>
      <c r="G138" s="178">
        <v>1</v>
      </c>
      <c r="H138" s="181">
        <v>7</v>
      </c>
      <c r="I138" s="180">
        <v>6</v>
      </c>
      <c r="J138" s="16">
        <f t="shared" si="41"/>
        <v>85.714285714285708</v>
      </c>
      <c r="K138" s="50"/>
      <c r="L138" s="159">
        <v>46064</v>
      </c>
      <c r="M138" s="159">
        <v>46064</v>
      </c>
      <c r="N138" s="178">
        <v>1</v>
      </c>
      <c r="O138" s="241">
        <f t="shared" si="42"/>
        <v>7</v>
      </c>
      <c r="P138" s="176">
        <v>7</v>
      </c>
      <c r="Q138" s="190">
        <f t="shared" si="43"/>
        <v>100</v>
      </c>
      <c r="R138" s="205"/>
      <c r="S138" s="48"/>
      <c r="T138" s="48"/>
      <c r="U138" s="48"/>
      <c r="V138" s="7">
        <f t="shared" si="40"/>
        <v>7</v>
      </c>
      <c r="W138" s="94"/>
      <c r="X138" s="16">
        <f t="shared" si="44"/>
        <v>0</v>
      </c>
      <c r="Y138" s="50"/>
    </row>
    <row r="139" spans="2:25" hidden="1" x14ac:dyDescent="0.2">
      <c r="B139" s="351"/>
      <c r="C139" s="319"/>
      <c r="D139" s="80" t="s">
        <v>113</v>
      </c>
      <c r="E139" s="159">
        <v>46037</v>
      </c>
      <c r="F139" s="159">
        <v>46037</v>
      </c>
      <c r="G139" s="178">
        <v>1</v>
      </c>
      <c r="H139" s="181">
        <v>10</v>
      </c>
      <c r="I139" s="180">
        <v>9</v>
      </c>
      <c r="J139" s="16">
        <f t="shared" si="41"/>
        <v>90</v>
      </c>
      <c r="K139" s="50"/>
      <c r="L139" s="159">
        <v>46064</v>
      </c>
      <c r="M139" s="159">
        <v>46064</v>
      </c>
      <c r="N139" s="178">
        <v>1</v>
      </c>
      <c r="O139" s="241">
        <f t="shared" si="42"/>
        <v>10</v>
      </c>
      <c r="P139" s="176">
        <v>9</v>
      </c>
      <c r="Q139" s="190">
        <f t="shared" si="43"/>
        <v>90</v>
      </c>
      <c r="R139" s="205"/>
      <c r="S139" s="48"/>
      <c r="T139" s="48"/>
      <c r="U139" s="48"/>
      <c r="V139" s="7">
        <f t="shared" si="40"/>
        <v>10</v>
      </c>
      <c r="W139" s="94"/>
      <c r="X139" s="16">
        <f t="shared" si="44"/>
        <v>0</v>
      </c>
      <c r="Y139" s="50"/>
    </row>
    <row r="140" spans="2:25" hidden="1" x14ac:dyDescent="0.2">
      <c r="B140" s="351"/>
      <c r="C140" s="319"/>
      <c r="D140" s="80" t="s">
        <v>19</v>
      </c>
      <c r="E140" s="159">
        <v>46037</v>
      </c>
      <c r="F140" s="159">
        <v>46037</v>
      </c>
      <c r="G140" s="178">
        <v>1</v>
      </c>
      <c r="H140" s="181">
        <v>8</v>
      </c>
      <c r="I140" s="180">
        <v>8</v>
      </c>
      <c r="J140" s="16">
        <f t="shared" si="41"/>
        <v>100</v>
      </c>
      <c r="K140" s="50"/>
      <c r="L140" s="159">
        <v>46069</v>
      </c>
      <c r="M140" s="159">
        <v>46069</v>
      </c>
      <c r="N140" s="178">
        <v>1</v>
      </c>
      <c r="O140" s="241">
        <f t="shared" si="42"/>
        <v>8</v>
      </c>
      <c r="P140" s="176">
        <v>6</v>
      </c>
      <c r="Q140" s="190">
        <f t="shared" si="43"/>
        <v>75</v>
      </c>
      <c r="R140" s="205"/>
      <c r="S140" s="48"/>
      <c r="T140" s="48"/>
      <c r="U140" s="48"/>
      <c r="V140" s="7">
        <f t="shared" si="40"/>
        <v>8</v>
      </c>
      <c r="W140" s="94"/>
      <c r="X140" s="16">
        <f t="shared" si="44"/>
        <v>0</v>
      </c>
      <c r="Y140" s="50"/>
    </row>
    <row r="141" spans="2:25" hidden="1" x14ac:dyDescent="0.2">
      <c r="B141" s="351"/>
      <c r="C141" s="319"/>
      <c r="D141" s="80" t="s">
        <v>24</v>
      </c>
      <c r="E141" s="159">
        <v>46041</v>
      </c>
      <c r="F141" s="159">
        <v>46041</v>
      </c>
      <c r="G141" s="178">
        <v>1</v>
      </c>
      <c r="H141" s="181">
        <v>12</v>
      </c>
      <c r="I141" s="180">
        <v>9</v>
      </c>
      <c r="J141" s="257">
        <f t="shared" si="41"/>
        <v>75</v>
      </c>
      <c r="K141" s="50"/>
      <c r="L141" s="48"/>
      <c r="M141" s="48"/>
      <c r="N141" s="48"/>
      <c r="O141" s="33">
        <f t="shared" si="42"/>
        <v>12</v>
      </c>
      <c r="P141" s="21"/>
      <c r="Q141" s="190">
        <f t="shared" si="43"/>
        <v>0</v>
      </c>
      <c r="R141" s="205"/>
      <c r="S141" s="48"/>
      <c r="T141" s="48"/>
      <c r="U141" s="48"/>
      <c r="V141" s="7">
        <f t="shared" si="40"/>
        <v>12</v>
      </c>
      <c r="W141" s="94"/>
      <c r="X141" s="16">
        <f t="shared" si="44"/>
        <v>0</v>
      </c>
      <c r="Y141" s="50"/>
    </row>
    <row r="142" spans="2:25" hidden="1" x14ac:dyDescent="0.2">
      <c r="B142" s="351"/>
      <c r="C142" s="319"/>
      <c r="D142" s="80" t="s">
        <v>18</v>
      </c>
      <c r="E142" s="159">
        <v>46096</v>
      </c>
      <c r="F142" s="159">
        <v>46096</v>
      </c>
      <c r="G142" s="178">
        <v>1</v>
      </c>
      <c r="H142" s="181">
        <v>16</v>
      </c>
      <c r="I142" s="180">
        <v>15</v>
      </c>
      <c r="J142" s="16">
        <f t="shared" si="41"/>
        <v>93.75</v>
      </c>
      <c r="K142" s="50"/>
      <c r="L142" s="48"/>
      <c r="M142" s="48"/>
      <c r="N142" s="48"/>
      <c r="O142" s="33">
        <f t="shared" si="42"/>
        <v>16</v>
      </c>
      <c r="P142" s="21"/>
      <c r="Q142" s="190">
        <f t="shared" si="43"/>
        <v>0</v>
      </c>
      <c r="R142" s="205"/>
      <c r="S142" s="48"/>
      <c r="T142" s="48"/>
      <c r="U142" s="48"/>
      <c r="V142" s="7">
        <f t="shared" si="40"/>
        <v>16</v>
      </c>
      <c r="W142" s="94"/>
      <c r="X142" s="16">
        <f t="shared" si="44"/>
        <v>0</v>
      </c>
      <c r="Y142" s="50"/>
    </row>
    <row r="143" spans="2:25" hidden="1" x14ac:dyDescent="0.2">
      <c r="B143" s="351"/>
      <c r="C143" s="319"/>
      <c r="D143" s="6" t="s">
        <v>23</v>
      </c>
      <c r="E143" s="92"/>
      <c r="F143" s="92"/>
      <c r="G143" s="92"/>
      <c r="H143" s="7">
        <v>9</v>
      </c>
      <c r="I143" s="96"/>
      <c r="J143" s="16">
        <f t="shared" si="41"/>
        <v>0</v>
      </c>
      <c r="K143" s="50"/>
      <c r="L143" s="92"/>
      <c r="M143" s="92"/>
      <c r="N143" s="92"/>
      <c r="O143" s="33">
        <f t="shared" si="42"/>
        <v>9</v>
      </c>
      <c r="P143" s="20"/>
      <c r="Q143" s="190">
        <f t="shared" si="43"/>
        <v>0</v>
      </c>
      <c r="R143" s="205"/>
      <c r="S143" s="92"/>
      <c r="T143" s="92"/>
      <c r="U143" s="92"/>
      <c r="V143" s="7">
        <f t="shared" si="40"/>
        <v>9</v>
      </c>
      <c r="W143" s="96"/>
      <c r="X143" s="16">
        <f t="shared" si="44"/>
        <v>0</v>
      </c>
      <c r="Y143" s="50"/>
    </row>
    <row r="144" spans="2:25" hidden="1" x14ac:dyDescent="0.2">
      <c r="B144" s="351"/>
      <c r="C144" s="319"/>
      <c r="D144" s="80" t="s">
        <v>20</v>
      </c>
      <c r="E144" s="48"/>
      <c r="F144" s="48"/>
      <c r="G144" s="48"/>
      <c r="H144" s="7">
        <v>14</v>
      </c>
      <c r="I144" s="94"/>
      <c r="J144" s="16">
        <f t="shared" si="41"/>
        <v>0</v>
      </c>
      <c r="K144" s="50"/>
      <c r="L144" s="48"/>
      <c r="M144" s="48"/>
      <c r="N144" s="48"/>
      <c r="O144" s="33">
        <f t="shared" si="42"/>
        <v>14</v>
      </c>
      <c r="P144" s="21"/>
      <c r="Q144" s="190">
        <f t="shared" si="43"/>
        <v>0</v>
      </c>
      <c r="R144" s="205"/>
      <c r="S144" s="48"/>
      <c r="T144" s="48"/>
      <c r="U144" s="48"/>
      <c r="V144" s="7">
        <f t="shared" si="40"/>
        <v>14</v>
      </c>
      <c r="W144" s="94"/>
      <c r="X144" s="16">
        <f t="shared" si="44"/>
        <v>0</v>
      </c>
      <c r="Y144" s="50"/>
    </row>
    <row r="145" spans="2:25" hidden="1" x14ac:dyDescent="0.2">
      <c r="B145" s="351"/>
      <c r="C145" s="319"/>
      <c r="D145" s="80" t="s">
        <v>21</v>
      </c>
      <c r="E145" s="48"/>
      <c r="F145" s="48"/>
      <c r="G145" s="48"/>
      <c r="H145" s="7">
        <v>9</v>
      </c>
      <c r="I145" s="94"/>
      <c r="J145" s="16">
        <f t="shared" si="41"/>
        <v>0</v>
      </c>
      <c r="K145" s="50"/>
      <c r="L145" s="48"/>
      <c r="M145" s="48"/>
      <c r="N145" s="48"/>
      <c r="O145" s="33">
        <f t="shared" si="42"/>
        <v>9</v>
      </c>
      <c r="P145" s="21"/>
      <c r="Q145" s="190">
        <f t="shared" si="43"/>
        <v>0</v>
      </c>
      <c r="R145" s="205"/>
      <c r="S145" s="48"/>
      <c r="T145" s="48"/>
      <c r="U145" s="48"/>
      <c r="V145" s="7">
        <f t="shared" si="40"/>
        <v>9</v>
      </c>
      <c r="W145" s="94"/>
      <c r="X145" s="16">
        <f t="shared" si="44"/>
        <v>0</v>
      </c>
      <c r="Y145" s="50"/>
    </row>
    <row r="146" spans="2:25" hidden="1" x14ac:dyDescent="0.2">
      <c r="B146" s="351"/>
      <c r="C146" s="319"/>
      <c r="D146" s="80" t="s">
        <v>133</v>
      </c>
      <c r="E146" s="48"/>
      <c r="F146" s="48"/>
      <c r="G146" s="48"/>
      <c r="H146" s="7">
        <v>14</v>
      </c>
      <c r="I146" s="94"/>
      <c r="J146" s="16">
        <f t="shared" si="41"/>
        <v>0</v>
      </c>
      <c r="K146" s="50"/>
      <c r="L146" s="48"/>
      <c r="M146" s="48"/>
      <c r="N146" s="48"/>
      <c r="O146" s="33">
        <f t="shared" si="42"/>
        <v>14</v>
      </c>
      <c r="P146" s="21"/>
      <c r="Q146" s="190">
        <f t="shared" si="43"/>
        <v>0</v>
      </c>
      <c r="R146" s="205"/>
      <c r="S146" s="48"/>
      <c r="T146" s="48"/>
      <c r="U146" s="48"/>
      <c r="V146" s="7">
        <f t="shared" si="40"/>
        <v>14</v>
      </c>
      <c r="W146" s="94"/>
      <c r="X146" s="16">
        <f t="shared" si="44"/>
        <v>0</v>
      </c>
      <c r="Y146" s="50"/>
    </row>
    <row r="147" spans="2:25" hidden="1" x14ac:dyDescent="0.2">
      <c r="B147" s="351"/>
      <c r="C147" s="319"/>
      <c r="D147" s="80" t="s">
        <v>117</v>
      </c>
      <c r="E147" s="48"/>
      <c r="F147" s="48"/>
      <c r="G147" s="48"/>
      <c r="H147" s="7">
        <v>9</v>
      </c>
      <c r="I147" s="94"/>
      <c r="J147" s="16">
        <f t="shared" si="41"/>
        <v>0</v>
      </c>
      <c r="K147" s="50"/>
      <c r="L147" s="48"/>
      <c r="M147" s="48"/>
      <c r="N147" s="48"/>
      <c r="O147" s="33">
        <f t="shared" si="42"/>
        <v>9</v>
      </c>
      <c r="P147" s="21"/>
      <c r="Q147" s="190">
        <f t="shared" si="43"/>
        <v>0</v>
      </c>
      <c r="R147" s="205"/>
      <c r="S147" s="48"/>
      <c r="T147" s="48"/>
      <c r="U147" s="48"/>
      <c r="V147" s="7">
        <f t="shared" si="40"/>
        <v>9</v>
      </c>
      <c r="W147" s="94"/>
      <c r="X147" s="16">
        <f t="shared" si="44"/>
        <v>0</v>
      </c>
      <c r="Y147" s="50"/>
    </row>
    <row r="148" spans="2:25" hidden="1" x14ac:dyDescent="0.2">
      <c r="B148" s="351"/>
      <c r="C148" s="319"/>
      <c r="D148" s="80" t="s">
        <v>125</v>
      </c>
      <c r="E148" s="48"/>
      <c r="F148" s="48"/>
      <c r="G148" s="48"/>
      <c r="H148" s="7">
        <v>10</v>
      </c>
      <c r="I148" s="94"/>
      <c r="J148" s="16">
        <f t="shared" si="41"/>
        <v>0</v>
      </c>
      <c r="K148" s="50"/>
      <c r="L148" s="48"/>
      <c r="M148" s="48"/>
      <c r="N148" s="48"/>
      <c r="O148" s="33">
        <f t="shared" si="42"/>
        <v>10</v>
      </c>
      <c r="P148" s="21"/>
      <c r="Q148" s="190">
        <f t="shared" si="43"/>
        <v>0</v>
      </c>
      <c r="R148" s="205"/>
      <c r="S148" s="48"/>
      <c r="T148" s="48"/>
      <c r="U148" s="48"/>
      <c r="V148" s="7">
        <f t="shared" si="40"/>
        <v>10</v>
      </c>
      <c r="W148" s="94"/>
      <c r="X148" s="16">
        <f t="shared" si="44"/>
        <v>0</v>
      </c>
      <c r="Y148" s="50"/>
    </row>
    <row r="149" spans="2:25" hidden="1" x14ac:dyDescent="0.2">
      <c r="B149" s="351"/>
      <c r="C149" s="319"/>
      <c r="D149" s="80" t="s">
        <v>119</v>
      </c>
      <c r="E149" s="48"/>
      <c r="F149" s="48"/>
      <c r="G149" s="48"/>
      <c r="H149" s="7">
        <v>3</v>
      </c>
      <c r="I149" s="94"/>
      <c r="J149" s="16">
        <f t="shared" si="41"/>
        <v>0</v>
      </c>
      <c r="K149" s="50"/>
      <c r="L149" s="48"/>
      <c r="M149" s="48"/>
      <c r="N149" s="48"/>
      <c r="O149" s="33">
        <f t="shared" si="42"/>
        <v>3</v>
      </c>
      <c r="P149" s="21"/>
      <c r="Q149" s="190">
        <f t="shared" si="43"/>
        <v>0</v>
      </c>
      <c r="R149" s="205"/>
      <c r="S149" s="48"/>
      <c r="T149" s="48"/>
      <c r="U149" s="48"/>
      <c r="V149" s="7">
        <f t="shared" si="40"/>
        <v>3</v>
      </c>
      <c r="W149" s="94"/>
      <c r="X149" s="16">
        <f t="shared" si="44"/>
        <v>0</v>
      </c>
      <c r="Y149" s="50"/>
    </row>
    <row r="150" spans="2:25" hidden="1" x14ac:dyDescent="0.2">
      <c r="B150" s="351"/>
      <c r="C150" s="319"/>
      <c r="D150" s="80" t="s">
        <v>115</v>
      </c>
      <c r="E150" s="159">
        <v>46070</v>
      </c>
      <c r="F150" s="159">
        <v>46070</v>
      </c>
      <c r="G150" s="178">
        <v>1</v>
      </c>
      <c r="H150" s="181">
        <v>15</v>
      </c>
      <c r="I150" s="180">
        <v>11</v>
      </c>
      <c r="J150" s="16">
        <f t="shared" si="41"/>
        <v>73.333333333333329</v>
      </c>
      <c r="K150" s="50"/>
      <c r="L150" s="48"/>
      <c r="M150" s="48"/>
      <c r="N150" s="48"/>
      <c r="O150" s="33">
        <f t="shared" si="42"/>
        <v>15</v>
      </c>
      <c r="P150" s="21"/>
      <c r="Q150" s="190">
        <f t="shared" si="43"/>
        <v>0</v>
      </c>
      <c r="R150" s="205"/>
      <c r="S150" s="48"/>
      <c r="T150" s="48"/>
      <c r="U150" s="48"/>
      <c r="V150" s="7">
        <f t="shared" si="40"/>
        <v>15</v>
      </c>
      <c r="W150" s="94"/>
      <c r="X150" s="16">
        <f t="shared" si="44"/>
        <v>0</v>
      </c>
      <c r="Y150" s="50"/>
    </row>
    <row r="151" spans="2:25" hidden="1" x14ac:dyDescent="0.2">
      <c r="B151" s="351"/>
      <c r="C151" s="319"/>
      <c r="D151" s="80" t="s">
        <v>112</v>
      </c>
      <c r="E151" s="159">
        <v>46050</v>
      </c>
      <c r="F151" s="159">
        <v>46050</v>
      </c>
      <c r="G151" s="178">
        <v>1</v>
      </c>
      <c r="H151" s="181">
        <v>15</v>
      </c>
      <c r="I151" s="180">
        <v>14</v>
      </c>
      <c r="J151" s="258">
        <f t="shared" si="41"/>
        <v>93.333333333333329</v>
      </c>
      <c r="K151" s="50"/>
      <c r="L151" s="48"/>
      <c r="M151" s="48"/>
      <c r="N151" s="48"/>
      <c r="O151" s="33">
        <f t="shared" si="42"/>
        <v>15</v>
      </c>
      <c r="P151" s="21"/>
      <c r="Q151" s="190">
        <f t="shared" si="43"/>
        <v>0</v>
      </c>
      <c r="R151" s="205"/>
      <c r="S151" s="48"/>
      <c r="T151" s="48"/>
      <c r="U151" s="48"/>
      <c r="V151" s="7">
        <f t="shared" si="40"/>
        <v>15</v>
      </c>
      <c r="W151" s="94"/>
      <c r="X151" s="16">
        <f t="shared" si="44"/>
        <v>0</v>
      </c>
      <c r="Y151" s="50"/>
    </row>
    <row r="152" spans="2:25" hidden="1" x14ac:dyDescent="0.2">
      <c r="B152" s="351"/>
      <c r="C152" s="319"/>
      <c r="D152" s="80" t="s">
        <v>120</v>
      </c>
      <c r="E152" s="159">
        <v>46050</v>
      </c>
      <c r="F152" s="159">
        <v>46050</v>
      </c>
      <c r="G152" s="178">
        <v>1</v>
      </c>
      <c r="H152" s="181">
        <v>12</v>
      </c>
      <c r="I152" s="180">
        <v>9</v>
      </c>
      <c r="J152" s="16">
        <f t="shared" si="41"/>
        <v>75</v>
      </c>
      <c r="K152" s="50"/>
      <c r="L152" s="48"/>
      <c r="M152" s="48"/>
      <c r="N152" s="48"/>
      <c r="O152" s="33">
        <f t="shared" si="42"/>
        <v>12</v>
      </c>
      <c r="P152" s="21"/>
      <c r="Q152" s="190">
        <f t="shared" si="43"/>
        <v>0</v>
      </c>
      <c r="R152" s="205"/>
      <c r="S152" s="48"/>
      <c r="T152" s="48"/>
      <c r="U152" s="48"/>
      <c r="V152" s="7">
        <f t="shared" si="40"/>
        <v>12</v>
      </c>
      <c r="W152" s="94"/>
      <c r="X152" s="16">
        <f t="shared" si="44"/>
        <v>0</v>
      </c>
      <c r="Y152" s="50"/>
    </row>
    <row r="153" spans="2:25" hidden="1" x14ac:dyDescent="0.2">
      <c r="B153" s="351"/>
      <c r="C153" s="319"/>
      <c r="D153" s="80" t="s">
        <v>116</v>
      </c>
      <c r="E153" s="159">
        <v>46055</v>
      </c>
      <c r="F153" s="159">
        <v>46055</v>
      </c>
      <c r="G153" s="178">
        <v>1</v>
      </c>
      <c r="H153" s="181">
        <v>15</v>
      </c>
      <c r="I153" s="180">
        <v>14</v>
      </c>
      <c r="J153" s="16">
        <f t="shared" si="41"/>
        <v>93.333333333333329</v>
      </c>
      <c r="K153" s="50"/>
      <c r="L153" s="48"/>
      <c r="M153" s="48"/>
      <c r="N153" s="48"/>
      <c r="O153" s="33">
        <f t="shared" si="42"/>
        <v>15</v>
      </c>
      <c r="P153" s="21"/>
      <c r="Q153" s="190">
        <f t="shared" si="43"/>
        <v>0</v>
      </c>
      <c r="R153" s="205"/>
      <c r="S153" s="48"/>
      <c r="T153" s="48"/>
      <c r="U153" s="48"/>
      <c r="V153" s="7">
        <f t="shared" si="40"/>
        <v>15</v>
      </c>
      <c r="W153" s="94"/>
      <c r="X153" s="16">
        <f t="shared" si="44"/>
        <v>0</v>
      </c>
      <c r="Y153" s="50"/>
    </row>
    <row r="154" spans="2:25" hidden="1" x14ac:dyDescent="0.2">
      <c r="B154" s="351"/>
      <c r="C154" s="319"/>
      <c r="D154" s="81" t="s">
        <v>118</v>
      </c>
      <c r="E154" s="161">
        <v>46050</v>
      </c>
      <c r="F154" s="161">
        <v>46050</v>
      </c>
      <c r="G154" s="178">
        <v>1</v>
      </c>
      <c r="H154" s="157">
        <v>4</v>
      </c>
      <c r="I154" s="158">
        <v>3</v>
      </c>
      <c r="J154" s="17">
        <f t="shared" si="41"/>
        <v>75</v>
      </c>
      <c r="K154" s="51"/>
      <c r="L154" s="91"/>
      <c r="M154" s="91"/>
      <c r="N154" s="91"/>
      <c r="O154" s="33">
        <f t="shared" si="42"/>
        <v>4</v>
      </c>
      <c r="P154" s="22"/>
      <c r="Q154" s="191">
        <f t="shared" si="43"/>
        <v>0</v>
      </c>
      <c r="R154" s="206"/>
      <c r="S154" s="91"/>
      <c r="T154" s="91"/>
      <c r="U154" s="91"/>
      <c r="V154" s="8">
        <f t="shared" si="40"/>
        <v>4</v>
      </c>
      <c r="W154" s="95"/>
      <c r="X154" s="17">
        <f t="shared" si="44"/>
        <v>0</v>
      </c>
      <c r="Y154" s="51"/>
    </row>
    <row r="155" spans="2:25" ht="17" hidden="1" thickTop="1" thickBot="1" x14ac:dyDescent="0.25">
      <c r="B155" s="351"/>
      <c r="C155" s="320"/>
      <c r="D155" s="86" t="s">
        <v>132</v>
      </c>
      <c r="E155" s="98"/>
      <c r="F155" s="98"/>
      <c r="G155" s="98"/>
      <c r="H155" s="10">
        <v>0</v>
      </c>
      <c r="I155" s="99"/>
      <c r="J155" s="18"/>
      <c r="K155" s="57"/>
      <c r="L155" s="98"/>
      <c r="M155" s="98"/>
      <c r="N155" s="98"/>
      <c r="O155" s="34">
        <f>H155</f>
        <v>0</v>
      </c>
      <c r="P155" s="23"/>
      <c r="Q155" s="116"/>
      <c r="R155" s="207"/>
      <c r="S155" s="98"/>
      <c r="T155" s="98"/>
      <c r="U155" s="98"/>
      <c r="V155" s="10">
        <f>O155</f>
        <v>0</v>
      </c>
      <c r="W155" s="99"/>
      <c r="X155" s="18"/>
      <c r="Y155" s="208"/>
    </row>
    <row r="156" spans="2:25" ht="17" hidden="1" thickTop="1" thickBot="1" x14ac:dyDescent="0.25">
      <c r="B156" s="351"/>
      <c r="C156" s="333" t="s">
        <v>181</v>
      </c>
      <c r="D156" s="331"/>
      <c r="E156" s="331"/>
      <c r="F156" s="332"/>
      <c r="G156" s="58">
        <f>G133+G134+G135+G136+G137+G138+G139+G140+G141+G142+G143+G144+G145+G146+G147+G148+G149+G150+G151+G152+G153+G154+G155</f>
        <v>14</v>
      </c>
      <c r="H156" s="58">
        <f>H133+H134+H135+H136+H137+H138+H139+H140+H141+H142+H143+H144+H145+H146+H147+H148+H149+H150+H151+H152+H153+H154+H155</f>
        <v>230</v>
      </c>
      <c r="I156" s="58">
        <f>I133+I134+I135+I136+I137+I138+I139+I140+I141+I142+I143+I144+I145+I146+I147+I148+I149+I150+I151+I152+I153+I154+I155</f>
        <v>134</v>
      </c>
      <c r="J156" s="58">
        <f>I156/H156*100</f>
        <v>58.260869565217391</v>
      </c>
      <c r="K156" s="118"/>
      <c r="L156" s="58"/>
      <c r="M156" s="58"/>
      <c r="N156" s="58">
        <f>N133+N134+N135+N136+N137+N138+N139+N140+N141+N142+N143+N144+N145+N146+N147+N148+N149+N150+N151+N152+N153+N154+N155</f>
        <v>5</v>
      </c>
      <c r="O156" s="58">
        <f t="shared" ref="O156:W156" si="45">O133+O134+O135+O136+O137+O138+O139+O140+O141+O142+O143+O144+O145+O146+O147+O148+O149+O150+O151+O152+O153+O154+O155</f>
        <v>230</v>
      </c>
      <c r="P156" s="58">
        <f t="shared" si="45"/>
        <v>36</v>
      </c>
      <c r="Q156" s="58">
        <f t="shared" si="45"/>
        <v>453.88888888888891</v>
      </c>
      <c r="R156" s="215"/>
      <c r="S156" s="222"/>
      <c r="T156" s="58"/>
      <c r="U156" s="58">
        <f t="shared" si="45"/>
        <v>0</v>
      </c>
      <c r="V156" s="58">
        <f t="shared" si="45"/>
        <v>230</v>
      </c>
      <c r="W156" s="58">
        <f t="shared" si="45"/>
        <v>0</v>
      </c>
      <c r="X156" s="108">
        <f t="shared" si="44"/>
        <v>0</v>
      </c>
      <c r="Y156" s="215"/>
    </row>
    <row r="157" spans="2:25" ht="17" hidden="1" thickTop="1" thickBot="1" x14ac:dyDescent="0.25">
      <c r="B157" s="338" t="s">
        <v>142</v>
      </c>
      <c r="C157" s="339"/>
      <c r="D157" s="339"/>
      <c r="E157" s="41">
        <f>E156+E132+E123+E107+E92+E75</f>
        <v>0</v>
      </c>
      <c r="F157" s="41">
        <f>F156+F132+F123+F107+F92+F75</f>
        <v>0</v>
      </c>
      <c r="G157" s="41">
        <f>G156+G132+G123+G107+G92+G75</f>
        <v>47</v>
      </c>
      <c r="H157" s="41">
        <f>H156+H132+H123+H107+H92+H75</f>
        <v>1133</v>
      </c>
      <c r="I157" s="41">
        <f>I156+I132+I123+I107+I92+I75</f>
        <v>491</v>
      </c>
      <c r="J157" s="184">
        <f>I157/H157*100</f>
        <v>43.336275375110326</v>
      </c>
      <c r="K157" s="37"/>
      <c r="L157" s="41"/>
      <c r="M157" s="41"/>
      <c r="N157" s="41">
        <f t="shared" ref="N157:W157" si="46">N156+N132+N123+N107+N92+N75</f>
        <v>23</v>
      </c>
      <c r="O157" s="41">
        <f t="shared" si="46"/>
        <v>1133</v>
      </c>
      <c r="P157" s="41">
        <f t="shared" si="46"/>
        <v>239</v>
      </c>
      <c r="Q157" s="202">
        <f t="shared" si="43"/>
        <v>21.094439541041481</v>
      </c>
      <c r="R157" s="224"/>
      <c r="S157" s="223"/>
      <c r="T157" s="41"/>
      <c r="U157" s="41">
        <f t="shared" si="46"/>
        <v>0</v>
      </c>
      <c r="V157" s="41">
        <f t="shared" si="46"/>
        <v>1133</v>
      </c>
      <c r="W157" s="41">
        <f t="shared" si="46"/>
        <v>0</v>
      </c>
      <c r="X157" s="108">
        <f t="shared" si="44"/>
        <v>0</v>
      </c>
      <c r="Y157" s="214"/>
    </row>
    <row r="158" spans="2:25" ht="17" hidden="1" thickTop="1" thickBot="1" x14ac:dyDescent="0.25">
      <c r="B158" s="340" t="s">
        <v>143</v>
      </c>
      <c r="C158" s="341"/>
      <c r="D158" s="341"/>
      <c r="E158" s="63">
        <f>E157+E55</f>
        <v>0</v>
      </c>
      <c r="F158" s="63">
        <f>F157+F55</f>
        <v>0</v>
      </c>
      <c r="G158" s="63">
        <f>G157+G55</f>
        <v>58</v>
      </c>
      <c r="H158" s="61">
        <f>H157+H55</f>
        <v>1802</v>
      </c>
      <c r="I158" s="61">
        <f>I157+I55</f>
        <v>712</v>
      </c>
      <c r="J158" s="108">
        <f>I158/H158*100</f>
        <v>39.511653718091011</v>
      </c>
      <c r="K158" s="109"/>
      <c r="L158" s="60"/>
      <c r="M158" s="60"/>
      <c r="N158" s="60">
        <f t="shared" ref="N158:W158" si="47">N157+N55</f>
        <v>33</v>
      </c>
      <c r="O158" s="61">
        <f t="shared" si="47"/>
        <v>1802</v>
      </c>
      <c r="P158" s="62">
        <f t="shared" si="47"/>
        <v>456</v>
      </c>
      <c r="Q158" s="203">
        <f t="shared" si="43"/>
        <v>25.305216426193116</v>
      </c>
      <c r="R158" s="216"/>
      <c r="S158" s="217"/>
      <c r="T158" s="217"/>
      <c r="U158" s="217">
        <f t="shared" si="47"/>
        <v>0</v>
      </c>
      <c r="V158" s="218">
        <f t="shared" si="47"/>
        <v>1802</v>
      </c>
      <c r="W158" s="219">
        <f t="shared" si="47"/>
        <v>0</v>
      </c>
      <c r="X158" s="220">
        <f t="shared" si="44"/>
        <v>0</v>
      </c>
      <c r="Y158" s="221"/>
    </row>
    <row r="160" spans="2:25" x14ac:dyDescent="0.2">
      <c r="B160" s="334" t="s">
        <v>164</v>
      </c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</row>
    <row r="161" spans="2:24" ht="16" thickBot="1" x14ac:dyDescent="0.25">
      <c r="B161" s="133"/>
      <c r="C161" s="133"/>
      <c r="D161" s="133"/>
      <c r="E161" s="133"/>
      <c r="F161" s="133"/>
      <c r="G161" s="133"/>
      <c r="H161" s="133" t="s">
        <v>182</v>
      </c>
      <c r="I161" s="133" t="s">
        <v>145</v>
      </c>
      <c r="J161" s="133" t="s">
        <v>183</v>
      </c>
      <c r="K161" s="133"/>
      <c r="L161" s="133"/>
      <c r="M161" s="133"/>
      <c r="N161" s="133"/>
      <c r="O161" s="133"/>
    </row>
    <row r="162" spans="2:24" ht="18" thickTop="1" thickBot="1" x14ac:dyDescent="0.25">
      <c r="E162" s="346" t="s">
        <v>148</v>
      </c>
      <c r="F162" s="347"/>
      <c r="G162" s="347"/>
      <c r="H162" s="138"/>
      <c r="I162" s="134"/>
      <c r="J162" s="2"/>
      <c r="K162" s="1"/>
      <c r="L162" s="1"/>
      <c r="M162" s="1"/>
      <c r="P162" s="1"/>
      <c r="X162" s="45"/>
    </row>
    <row r="163" spans="2:24" ht="18" thickTop="1" thickBot="1" x14ac:dyDescent="0.25">
      <c r="E163" s="348" t="s">
        <v>144</v>
      </c>
      <c r="F163" s="349"/>
      <c r="G163" s="349"/>
      <c r="H163" s="139">
        <v>2</v>
      </c>
      <c r="I163" s="135">
        <v>4</v>
      </c>
      <c r="J163" s="3"/>
      <c r="K163" s="1"/>
      <c r="L163" s="1"/>
      <c r="M163" s="1"/>
      <c r="P163" s="1"/>
      <c r="V163"/>
      <c r="W163" s="47"/>
    </row>
    <row r="164" spans="2:24" ht="18" thickTop="1" thickBot="1" x14ac:dyDescent="0.25">
      <c r="E164" s="342" t="s">
        <v>149</v>
      </c>
      <c r="F164" s="343"/>
      <c r="G164" s="343"/>
      <c r="H164" s="140">
        <v>56</v>
      </c>
      <c r="I164" s="136">
        <v>29</v>
      </c>
      <c r="J164" s="4"/>
      <c r="K164" s="1"/>
      <c r="L164" s="1"/>
      <c r="M164" s="1"/>
      <c r="P164" s="1"/>
      <c r="V164"/>
      <c r="W164" s="47"/>
    </row>
    <row r="165" spans="2:24" ht="18" thickTop="1" thickBot="1" x14ac:dyDescent="0.25">
      <c r="E165" s="336" t="s">
        <v>150</v>
      </c>
      <c r="F165" s="337"/>
      <c r="G165" s="337"/>
      <c r="H165" s="141">
        <f>H162+H163+H164</f>
        <v>58</v>
      </c>
      <c r="I165" s="137">
        <f>I162+I163+I164</f>
        <v>33</v>
      </c>
      <c r="J165" s="5">
        <f>J162+J163+J164</f>
        <v>0</v>
      </c>
      <c r="K165" s="1"/>
      <c r="L165" s="1"/>
      <c r="M165" s="1"/>
      <c r="P165" s="1"/>
      <c r="V165"/>
      <c r="W165" s="47"/>
    </row>
    <row r="166" spans="2:24" ht="16" thickTop="1" x14ac:dyDescent="0.2">
      <c r="V166"/>
      <c r="W166" s="47"/>
    </row>
  </sheetData>
  <sheetProtection selectLockedCells="1" selectUnlockedCells="1"/>
  <autoFilter ref="B3:Y158" xr:uid="{00000000-0009-0000-0000-000000000000}">
    <filterColumn colId="3">
      <filters>
        <dateGroupItem year="2026" month="4" dateTimeGrouping="month"/>
      </filters>
    </filterColumn>
  </autoFilter>
  <mergeCells count="36">
    <mergeCell ref="B160:O160"/>
    <mergeCell ref="C76:C91"/>
    <mergeCell ref="C93:C106"/>
    <mergeCell ref="E165:G165"/>
    <mergeCell ref="B157:D157"/>
    <mergeCell ref="B158:D158"/>
    <mergeCell ref="E164:G164"/>
    <mergeCell ref="C92:F92"/>
    <mergeCell ref="C107:F107"/>
    <mergeCell ref="C123:F123"/>
    <mergeCell ref="C132:F132"/>
    <mergeCell ref="C156:F156"/>
    <mergeCell ref="E162:G162"/>
    <mergeCell ref="E163:G163"/>
    <mergeCell ref="C108:C122"/>
    <mergeCell ref="B56:B156"/>
    <mergeCell ref="C56:C74"/>
    <mergeCell ref="C124:C131"/>
    <mergeCell ref="C133:C155"/>
    <mergeCell ref="C4:C20"/>
    <mergeCell ref="C22:C29"/>
    <mergeCell ref="C31:C49"/>
    <mergeCell ref="B55:D55"/>
    <mergeCell ref="B4:B54"/>
    <mergeCell ref="C21:F21"/>
    <mergeCell ref="C30:F30"/>
    <mergeCell ref="C50:F50"/>
    <mergeCell ref="C52:F52"/>
    <mergeCell ref="C54:F54"/>
    <mergeCell ref="C75:F75"/>
    <mergeCell ref="Y2:Y3"/>
    <mergeCell ref="K2:K3"/>
    <mergeCell ref="E2:J2"/>
    <mergeCell ref="L2:Q2"/>
    <mergeCell ref="S2:X2"/>
    <mergeCell ref="R2:R3"/>
  </mergeCells>
  <conditionalFormatting sqref="J4:J54">
    <cfRule type="cellIs" dxfId="7" priority="1" operator="lessThan">
      <formula>70</formula>
    </cfRule>
    <cfRule type="cellIs" dxfId="6" priority="2" operator="greaterThan">
      <formula>69.9</formula>
    </cfRule>
  </conditionalFormatting>
  <conditionalFormatting sqref="J56:J131 J133:J155 J157:J158">
    <cfRule type="cellIs" dxfId="5" priority="3" operator="lessThan">
      <formula>70</formula>
    </cfRule>
    <cfRule type="cellIs" dxfId="4" priority="4" operator="greaterThan">
      <formula>69.9</formula>
    </cfRule>
  </conditionalFormatting>
  <conditionalFormatting sqref="Q4:Q54 X4:X54">
    <cfRule type="cellIs" dxfId="3" priority="5" operator="lessThan">
      <formula>70</formula>
    </cfRule>
    <cfRule type="cellIs" dxfId="2" priority="6" operator="greaterThan">
      <formula>69.9</formula>
    </cfRule>
  </conditionalFormatting>
  <conditionalFormatting sqref="Q56:Q131 X56:X131 Q133:Q155 X133:X158 Q157:Q158">
    <cfRule type="cellIs" dxfId="1" priority="7" operator="lessThan">
      <formula>70</formula>
    </cfRule>
    <cfRule type="cellIs" dxfId="0" priority="8" operator="greaterThan">
      <formula>69.9</formula>
    </cfRule>
  </conditionalFormatting>
  <hyperlinks>
    <hyperlink ref="E128:E130" r:id="rId1" display="10חבל יבנה\מטווח חציון א\1פקודה מטווח חציון א קבוצת יבנה, כרם ביבנה, ובית רבן 7.1.25.docx" xr:uid="{00000000-0004-0000-0000-000000000000}"/>
    <hyperlink ref="E136:E140" r:id="rId2" display="11באר טוביה\מטווח חציון א\1פקודה מטווח חציון א אמונים, עזר בית עזרא, גבעתי ואורות 15.1.26.docx" xr:uid="{00000000-0004-0000-0000-000001000000}"/>
    <hyperlink ref="L111" r:id="rId3" display="9שפיר\אימון הגנש\1פקודה אימון הגנש מועצתית שפיר ואבן שמואל 6.1.26.docx" xr:uid="{00000000-0004-0000-0000-000002000000}"/>
    <hyperlink ref="M111" r:id="rId4" display="9שפיר\אימון הגנש\2סיכום אימון הגנש אבן שמואל 6.1.26.docx" xr:uid="{00000000-0004-0000-0000-000003000000}"/>
    <hyperlink ref="L109:L110" r:id="rId5" display="9שפיר\אימון הגנש\3פקודה אימון הגנש שלווה איתן ועוזה 11.1.26.docx" xr:uid="{00000000-0004-0000-0000-000004000000}"/>
    <hyperlink ref="L112" r:id="rId6" display="9שפיר\אימון הגנש\3פקודה אימון הגנש שלווה איתן ועוזה 11.1.26.docx" xr:uid="{00000000-0004-0000-0000-000005000000}"/>
    <hyperlink ref="F128:F130" r:id="rId7" display="10חבל יבנה\מטווח חציון א\2סיכום מטווח חציון א ניר גלים, כרם ביבנה, בית רבן, בן זכאי, קבוצת יבנה, בית גמליאל, ניר גלים 7.1.25.docx" xr:uid="{00000000-0004-0000-0000-000006000000}"/>
    <hyperlink ref="M109:M110" r:id="rId8" display="9שפיר\אימון הגנש\4סיכום אימון הגנש שלווה איתן ועוזה 11.1.26.docx" xr:uid="{00000000-0004-0000-0000-000007000000}"/>
    <hyperlink ref="M112" r:id="rId9" display="9שפיר\אימון הגנש\4סיכום אימון הגנש שלווה איתן ועוזה 11.1.26.docx" xr:uid="{00000000-0004-0000-0000-000008000000}"/>
    <hyperlink ref="E113:E115" r:id="rId10" display="9שפיר\מטווח חציון א\3פקודה מטווח חציון א שפיר, עין צורים וזרחיה 21.1.26.docx" xr:uid="{00000000-0004-0000-0000-000009000000}"/>
    <hyperlink ref="L93" r:id="rId11" display="8יואב\אימון הגנש\3פקודה אימון הגנש גת 21.1.26.docx" xr:uid="{00000000-0004-0000-0000-00000A000000}"/>
    <hyperlink ref="L94" r:id="rId12" display="8יואב\אימון הגנש\5פקודה אימון הגנש גלאון 2.2.26.docx" xr:uid="{00000000-0004-0000-0000-00000B000000}"/>
    <hyperlink ref="L95" r:id="rId13" display="8יואב\אימון הגנש\7פקודה אימון הגנש בית ניר 15.2.26.docx" xr:uid="{00000000-0004-0000-0000-00000C000000}"/>
    <hyperlink ref="L101" r:id="rId14" display="8יואב\אימון הגנש\9פקודה אימון הגנש כפר מנחם 8.2.26.docx" xr:uid="{00000000-0004-0000-0000-00000D000000}"/>
    <hyperlink ref="L102" r:id="rId15" display="8יואב\אימון הגנש\11פקודה אימון הגנש כפר הריף 10.2.26.docx" xr:uid="{00000000-0004-0000-0000-00000E000000}"/>
    <hyperlink ref="L103" r:id="rId16" display="8יואב\אימון הגנש\13פקודה אימון הגנש רבדים 25.2.26.docx" xr:uid="{00000000-0004-0000-0000-00000F000000}"/>
    <hyperlink ref="L97:L99" r:id="rId17" display="8יואב\אימון הגנש\1פקודה אימון הגנש נחלה, סגולה, קדמה וורדון 14.1.26.docx" xr:uid="{00000000-0004-0000-0000-000010000000}"/>
    <hyperlink ref="M97:M99" r:id="rId18" display="8יואב\אימון הגנש\2סיכום אימון הגנש נחלה, סגולה, קדמה וורדון 14.1.26.docx" xr:uid="{00000000-0004-0000-0000-000011000000}"/>
    <hyperlink ref="L104" r:id="rId19" display="8יואב\אימון הגנש\1פקודה אימון הגנש נחלה, סגולה, קדמה וורדון 14.1.26.docx" xr:uid="{00000000-0004-0000-0000-000012000000}"/>
    <hyperlink ref="M104" r:id="rId20" display="8יואב\אימון הגנש\2סיכום אימון הגנש נחלה, סגולה, קדמה וורדון 14.1.26.docx" xr:uid="{00000000-0004-0000-0000-000013000000}"/>
    <hyperlink ref="E79" r:id="rId21" display="7חוף אשקלון\מטווח חציון א\1פקודה מטווח חציון גיאה ומבקיעים 14.1.26.docx" xr:uid="{00000000-0004-0000-0000-000014000000}"/>
    <hyperlink ref="E76" r:id="rId22" display="7חוף אשקלון\מטווח חציון א\1פקודה מטווח חציון גיאה ומבקיעים 14.1.26.docx" xr:uid="{00000000-0004-0000-0000-000015000000}"/>
    <hyperlink ref="F76" r:id="rId23" display="7חוף אשקלון\מטווח חציון א\2סיכום מטווח חציון גיאה ומבקיעים 14.1.26.docx" xr:uid="{00000000-0004-0000-0000-000016000000}"/>
    <hyperlink ref="F79" r:id="rId24" display="7חוף אשקלון\מטווח חציון א\2סיכום מטווח חציון גיאה ומבקיעים 14.1.26.docx" xr:uid="{00000000-0004-0000-0000-000017000000}"/>
    <hyperlink ref="E77" r:id="rId25" display="7חוף אשקלון\מטווח חציון א\3פקודה מטווח חציון א בת הדר והשלמות 19.1.26.docx" xr:uid="{00000000-0004-0000-0000-000018000000}"/>
    <hyperlink ref="F136:F140" r:id="rId26" display="11באר טוביה\מטווח חציון א\2סיכום מטווח חציון א אמונים, עזר בית עזרא, גבעתי ואורות 15.1.26.docx" xr:uid="{00000000-0004-0000-0000-000019000000}"/>
    <hyperlink ref="E141" r:id="rId27" display="11באר טוביה\מטווח חציון א\3פקודה מטווח חציון א באר טוביה 19.1.25.docx" xr:uid="{00000000-0004-0000-0000-00001A000000}"/>
    <hyperlink ref="F77" r:id="rId28" display="7חוף אשקלון\מטווח חציון א\4סיכום מטווח חציון א בת הדר והשלמות 19.1.26.docx" xr:uid="{00000000-0004-0000-0000-00001B000000}"/>
    <hyperlink ref="E124:E125" r:id="rId29" display="10חבל יבנה\מטווח חציון א\3פקודה מטווח חציון א בית גמליאל, בן זכאי, ק. יבנה, כרם ביבנה , בית רבן 21.1.26.docx" xr:uid="{00000000-0004-0000-0000-00001C000000}"/>
    <hyperlink ref="E111:E112" r:id="rId30" display="9שפיר\מטווח חציון א\5פקודה מטווח חציון א אבן שמואל ואיתן 27.1.26.docx" xr:uid="{00000000-0004-0000-0000-00001D000000}"/>
    <hyperlink ref="E151" r:id="rId31" display="11באר טוביה\מטווח חציון א\7פקודה מטווח חציון א ביצרון 28.1.26.docx" xr:uid="{00000000-0004-0000-0000-00001E000000}"/>
    <hyperlink ref="M93" r:id="rId32" display="8יואב\אימון הגנש\4סיכום אימון הגנש גת 21.1.26.docx" xr:uid="{00000000-0004-0000-0000-00001F000000}"/>
    <hyperlink ref="F124:F125" r:id="rId33" display="10חבל יבנה\מטווח חציון א\2סיכום מטווח חציון א ניר גלים, כרם ביבנה, בית רבן, בן זכאי, קבוצת יבנה, בית גמליאל, ניר גלים 7.1.25.docx" xr:uid="{00000000-0004-0000-0000-000020000000}"/>
    <hyperlink ref="F113:F115" r:id="rId34" display="9שפיר\מטווח חציון א\4סיכום מטווח חציון א שפיר, עין צורים וזרחיה 21.1.26.docx" xr:uid="{00000000-0004-0000-0000-000021000000}"/>
    <hyperlink ref="E120:E121" r:id="rId35" display="9שפיר\מטווח חציון א\6סיכום מטווח חציון א אבן שמואל ואיתן 27.1.26.docx" xr:uid="{00000000-0004-0000-0000-000022000000}"/>
    <hyperlink ref="E87" r:id="rId36" display="7חוף אשקלון\מטווח חציון א\7פקודה מטווח חציון א ניצן 26.1.26.docx" xr:uid="{00000000-0004-0000-0000-000023000000}"/>
    <hyperlink ref="E88" r:id="rId37" display="7חוף אשקלון\מטווח חציון א\5פקודה מטווח חציון א באר גנים והשלמות 26.1.26.docx" xr:uid="{00000000-0004-0000-0000-000024000000}"/>
    <hyperlink ref="L7:L8" r:id="rId38" display="1בני שמעון\אימון הגנש\1פקודה אימון הגנש בית קמה ושובל 4.2.26.docx" xr:uid="{00000000-0004-0000-0000-000025000000}"/>
    <hyperlink ref="F87" r:id="rId39" display="7חוף אשקלון\מטווח חציון א\8סיכום מטווח חציון א ניצן 26.1.26.docx" xr:uid="{00000000-0004-0000-0000-000026000000}"/>
    <hyperlink ref="F88" r:id="rId40" display="7חוף אשקלון\מטווח חציון א\6סיכום מטווח חציון א באר גנים והשלמות 26.1.26.docx" xr:uid="{00000000-0004-0000-0000-000027000000}"/>
    <hyperlink ref="E68" r:id="rId41" display="6לכיש\מטווח חציון א\1פקודה מטווח חציון א ככ לכיש והשלמות 30.1.26.docx" xr:uid="{00000000-0004-0000-0000-000028000000}"/>
    <hyperlink ref="F111:F112" r:id="rId42" display="9שפיר\מטווח חציון א\7פקודה מטווח חציון א זבדיאל ורווחה  27.1.26.docx" xr:uid="{00000000-0004-0000-0000-000029000000}"/>
    <hyperlink ref="F120:F121" r:id="rId43" display="9שפיר\מטווח חציון א\8סיכום מטווח חציון א זבדיאל ורווחה  27.1.26.docx" xr:uid="{00000000-0004-0000-0000-00002A000000}"/>
    <hyperlink ref="E126:E127" r:id="rId44" display="10חבל יבנה\מטווח חציון א\5פקודה מטווח חציון א ניר גלים, בני דרום והשלמות 3.2.26.docx" xr:uid="{00000000-0004-0000-0000-00002B000000}"/>
    <hyperlink ref="E154" r:id="rId45" display="11באר טוביה\מטווח חציון א\5פקודה מטווח חציון א נווה מבטח כנות וביצרון 28.1.26.docx" xr:uid="{00000000-0004-0000-0000-00002C000000}"/>
    <hyperlink ref="F141" r:id="rId46" display="11באר טוביה\מטווח חציון א\4סיכום מטווח חציון א באר טוביה 19.1.25.docx" xr:uid="{00000000-0004-0000-0000-00002D000000}"/>
    <hyperlink ref="F151:F152" r:id="rId47" display="11באר טוביה\מטווח חציון א\6סיכום מטווח חציון א נווה מבטח כנות וביצרון  28.1.26.docx" xr:uid="{00000000-0004-0000-0000-00002E000000}"/>
    <hyperlink ref="F154" r:id="rId48" display="11באר טוביה\מטווח חציון א\6סיכום מטווח חציון א נווה מבטח כנות וביצרון  28.1.26.docx" xr:uid="{00000000-0004-0000-0000-00002F000000}"/>
    <hyperlink ref="E152" r:id="rId49" display="11באר טוביה\מטווח חציון א\5פקודה מטווח חציון א נווה מבטח כנות וביצרון 28.1.26.docx" xr:uid="{00000000-0004-0000-0000-000030000000}"/>
    <hyperlink ref="F68" r:id="rId50" display="6לכיש\מטווח חציון א\2סיכום מטווח חציון א ככ לכיש והשלמות 30.1.26.docx" xr:uid="{00000000-0004-0000-0000-000031000000}"/>
    <hyperlink ref="E153" r:id="rId51" display="11באר טוביה\מטווח חציון א\7פקודה מטווח חציון א חצור והשלמות 2.2.26.docx" xr:uid="{00000000-0004-0000-0000-000032000000}"/>
    <hyperlink ref="E12:E13" r:id="rId52" display="1בני שמעון\מטווח חציון א\1פקודה מטווח חציון א חצרים ונבטים 5.2.26.docx" xr:uid="{00000000-0004-0000-0000-000033000000}"/>
    <hyperlink ref="E56" r:id="rId53" display="6לכיש\מטווח חציון א\3פקודה מטווח חציון א ככ תלמים והשלמות 4.2.26.docx" xr:uid="{00000000-0004-0000-0000-000034000000}"/>
    <hyperlink ref="M94" r:id="rId54" display="8יואב\אימון הגנש\6סיכום אימון הגנש גלאון 2.2.26.docx" xr:uid="{00000000-0004-0000-0000-000035000000}"/>
    <hyperlink ref="F126:F127" r:id="rId55" display="10חבל יבנה\מטווח חציון א\6סיכום מטווח חציון א ניר גלים, בני דרום והשלמות 3.2.26.docx" xr:uid="{00000000-0004-0000-0000-000036000000}"/>
    <hyperlink ref="M7:M8" r:id="rId56" display="1בני שמעון\אימון הגנש\2סיכום אימון הגנש בית קמה ושובל 4.2.26.docx" xr:uid="{00000000-0004-0000-0000-000037000000}"/>
    <hyperlink ref="F153" r:id="rId57" display="11באר טוביה\מטווח חציון א\8סיכום מטווח חציון א חצור והשלמות 2.2.26.docx" xr:uid="{00000000-0004-0000-0000-000038000000}"/>
    <hyperlink ref="L90" r:id="rId58" display="7חוף אשקלון\אימון הגנש\1פקודה אימון הגנש כוכב מיכאל 6.2.26.docx" xr:uid="{00000000-0004-0000-0000-000039000000}"/>
    <hyperlink ref="M90" r:id="rId59" display="7חוף אשקלון\אימון הגנש\2סיכום אימון הגנש כוכב מיכאל 6.2.26.docx" xr:uid="{00000000-0004-0000-0000-00003A000000}"/>
    <hyperlink ref="E81" r:id="rId60" display="7חוף אשקלון\מטווח חציון א\9פקודה מטווח חציון א משען, סילבר והשלמות 9.2.26.docx" xr:uid="{00000000-0004-0000-0000-00003B000000}"/>
    <hyperlink ref="E85" r:id="rId61" display="7חוף אשקלון\מטווח חציון א\9פקודה מטווח חציון א משען, סילבר והשלמות 9.2.26.docx" xr:uid="{00000000-0004-0000-0000-00003C000000}"/>
    <hyperlink ref="F12:F13" r:id="rId62" display="1בני שמעון\מטווח חציון א\2סיכום מטווח חציון א חצרים ונבטים 5.2.26.docx" xr:uid="{00000000-0004-0000-0000-00003D000000}"/>
    <hyperlink ref="L4:L6" r:id="rId63" display="1בני שמעון\אימון הגנש\3פקודה אימון הגנש ברוש, תדהר ותאשור 11.2.26.docx" xr:uid="{00000000-0004-0000-0000-00003E000000}"/>
    <hyperlink ref="F81" r:id="rId64" display="7חוף אשקלון\מטווח חציון א\10סיכום מטווח חציון א משען, סילבר והשלמות 9.2.26.docx" xr:uid="{00000000-0004-0000-0000-00003F000000}"/>
    <hyperlink ref="F85" r:id="rId65" display="7חוף אשקלון\מטווח חציון א\10סיכום מטווח חציון א משען, סילבר והשלמות 9.2.26.docx" xr:uid="{00000000-0004-0000-0000-000040000000}"/>
    <hyperlink ref="E59:E61" r:id="rId66" display="6לכיש\מטווח חציון א\5פקודה מטווח חציון א ככ נהורה, נגה ועוצם 16.2.26.docx" xr:uid="{00000000-0004-0000-0000-000041000000}"/>
    <hyperlink ref="E9:E11" r:id="rId67" display="1בני שמעון\מטווח חציון א\3פקודה מטווח חציון א דביר, משמר הנגב, גבעות בר והשלמות 12.2.26.docx" xr:uid="{00000000-0004-0000-0000-000042000000}"/>
    <hyperlink ref="M4:M6" r:id="rId68" display="1בני שמעון\אימון הגנש\4סיכום אימון הגנש ברוש, תדהר ותאשור 11.2.26.docx" xr:uid="{00000000-0004-0000-0000-000043000000}"/>
    <hyperlink ref="L136:L140" r:id="rId69" display="11באר טוביה\אימון הגנש\1פקודה אימון הגנש אמונים, גבעתי, עזר, בית עזרא ואורות 11.2.26.docx" xr:uid="{00000000-0004-0000-0000-000044000000}"/>
    <hyperlink ref="M136:M138" r:id="rId70" display="11באר טוביה\אימון הגנש\2סיכום אימון הגנש אמונים, גבעתי, עזר,ובית עזרא 11.2.26.docx" xr:uid="{00000000-0004-0000-0000-000045000000}"/>
    <hyperlink ref="M139" r:id="rId71" display="11באר טוביה\אימון הגנש\2סיכום אימון הגנש אמונים, גבעתי, עזר,ובית עזרא 11.2.26.docx" xr:uid="{00000000-0004-0000-0000-000046000000}"/>
    <hyperlink ref="L140" r:id="rId72" display="11באר טוביה\אימון הגנש\3פקודה אימון הגנש אורות והשלמות  16.2.26.docx" xr:uid="{00000000-0004-0000-0000-000047000000}"/>
    <hyperlink ref="E150" r:id="rId73" display="11באר טוביה\מטווח חציון א\9פקודה מטווח חציון א חצב והשלמות 17.2.26.docx" xr:uid="{00000000-0004-0000-0000-000048000000}"/>
    <hyperlink ref="E7" r:id="rId74" display="1בני שמעון\מטווח חציון א\5פקודה מטווח חציון א בית קמה והשלמות 19.2.26.docx" xr:uid="{00000000-0004-0000-0000-000049000000}"/>
    <hyperlink ref="E118" r:id="rId75" display="9שפיר\מטווח חציון א\9פקודה מטווח חציון א קוממיות, שלווה ועוזה 25.2.26.docx" xr:uid="{00000000-0004-0000-0000-00004A000000}"/>
    <hyperlink ref="E109:E110" r:id="rId76" display="9פקודה מטווח חציון א קוממיות, שלווה ועוזה 25.2.26" xr:uid="{00000000-0004-0000-0000-00004B000000}"/>
    <hyperlink ref="L12:L13" r:id="rId77" display="1בני שמעון\אימון הגנש\5פקודה אימון הגנש חצרים ונבטים 18.2.26.docx" xr:uid="{00000000-0004-0000-0000-00004C000000}"/>
    <hyperlink ref="E7:E8" r:id="rId78" display="1בני שמעון\מטווח חציון א\5פקודה מטווח חציון א בית קמה, שובל והשלמות 19.2.26.docx" xr:uid="{00000000-0004-0000-0000-00004D000000}"/>
    <hyperlink ref="F9:F11" r:id="rId79" display="1בני שמעון\מטווח חציון א\4סיכום מטווח חציון א דביר, משמר הנגב, גבעות בר והשלמות 12.2.26.docx" xr:uid="{00000000-0004-0000-0000-00004E000000}"/>
    <hyperlink ref="M95" r:id="rId80" display="8יואב\אימון הגנש\8סיכום אימון הגנש בית ניר 15.2.26.docx" xr:uid="{00000000-0004-0000-0000-00004F000000}"/>
    <hyperlink ref="F150" r:id="rId81" display="11באר טוביה\מטווח חציון א\10סיכום מטווח חציון א חצב והשלמות 17.2.26.docx" xr:uid="{00000000-0004-0000-0000-000050000000}"/>
    <hyperlink ref="L73" r:id="rId82" display="6לכיש\אימון הגנש\1פקודה אימון הגנש כרמי קטיף 1.3.26.docx" xr:uid="{00000000-0004-0000-0000-000051000000}"/>
    <hyperlink ref="F7:F8" r:id="rId83" display="1בני שמעון\מטווח חציון א\6סיכום מטווח חציון א בית קמה, שובל והשלמות 19.2.26.docx" xr:uid="{00000000-0004-0000-0000-000052000000}"/>
    <hyperlink ref="E62:E64" r:id="rId84" display="6לכיש\מטווח חציון א\7פקודה מטווח חציון א ככ יד נתן, שדה משה, מנוחה והשלמות 26.2.26.docx" xr:uid="{00000000-0004-0000-0000-000053000000}"/>
    <hyperlink ref="M12:M13" r:id="rId85" display="1בני שמעון\אימון הגנש\6סיכום אימון הגנש חצרים ונבטים 18.2.26.docx" xr:uid="{00000000-0004-0000-0000-000054000000}"/>
    <hyperlink ref="M103" r:id="rId86" display="8יואב\אימון הגנש\14סיכום אימון הגנש רבדים 25.2.26.docx" xr:uid="{00000000-0004-0000-0000-000055000000}"/>
    <hyperlink ref="L118:L121" r:id="rId87" display="9שפיר\אימון הגנש\7פקודה אימון הגנש אלומה, רווחה, זבדיאל וקוממיות 1.3.26.docx" xr:uid="{00000000-0004-0000-0000-000056000000}"/>
    <hyperlink ref="L10" r:id="rId88" display="1בני שמעון\אימון הגנש\7פקודה אימון הגנש גבעות בר והשלמות 25.2.26.docx" xr:uid="{00000000-0004-0000-0000-000057000000}"/>
    <hyperlink ref="M10" r:id="rId89" display="1בני שמעון\אימון הגנש\8סיכום אימון הגנש גבעות בר והשלמות 25.2.26.docx" xr:uid="{00000000-0004-0000-0000-000058000000}"/>
    <hyperlink ref="F109:F110" r:id="rId90" display="9שפיר\מטווח חציון א\10סיכום מטווח חציון א קוממיות, שלווה ועוזה 25.2.26.docx" xr:uid="{00000000-0004-0000-0000-000059000000}"/>
    <hyperlink ref="F118" r:id="rId91" display="9שפיר\מטווח חציון א\10סיכום מטווח חציון א קוממיות, שלווה ועוזה 25.2.26.docx" xr:uid="{00000000-0004-0000-0000-00005A000000}"/>
    <hyperlink ref="E15" r:id="rId92" display="1בני שמעון\מטווח חציון א\7פקודה מטווח חציון א כרמית וכרמים 5.3.26.docx" xr:uid="{00000000-0004-0000-0000-00005B000000}"/>
    <hyperlink ref="E19" r:id="rId93" display="1בני שמעון\מטווח חציון א\7פקודה מטווח חציון א כרמית וכרמים 5.3.26.docx" xr:uid="{00000000-0004-0000-0000-00005C000000}"/>
    <hyperlink ref="F59:F60" r:id="rId94" display="6לכיש\מטווח חציון א\6סיכום מטווח חציון א ככ נהורה, נגה ועוצם 16.2.26.docx" xr:uid="{00000000-0004-0000-0000-00005D000000}"/>
    <hyperlink ref="F56" r:id="rId95" display="6לכיש\מטווח חציון א\4סיכום מטווח חציון א ככ תלמים והשלמות 4.2.26.docx" xr:uid="{00000000-0004-0000-0000-00005E000000}"/>
    <hyperlink ref="F62:F64" r:id="rId96" display="6לכיש\מטווח חציון א\8סיכום מטווח חציון א ככ יד נתן, שדה משה, מנוחה והשלמות 26.2.26.docx" xr:uid="{00000000-0004-0000-0000-00005F000000}"/>
    <hyperlink ref="E97:E99" r:id="rId97" display="8יואב\מטווח חציון א\1פקודה מטווח חציון א נחלה, סגולה, ורדון וקדמה 11.3.26.docx" xr:uid="{00000000-0004-0000-0000-000060000000}"/>
    <hyperlink ref="E104" r:id="rId98" display="8יואב\מטווח חציון א\1פקודה מטווח חציון א נחלה, סגולה, ורדון וקדמה 11.3.26.docx" xr:uid="{00000000-0004-0000-0000-000061000000}"/>
    <hyperlink ref="M118:M121" r:id="rId99" display="9שפיר\אימון הגנש\8סיכום אימון הגנש אלומה, רווחה, זבדיאל וקוממיות 1.3.26.docx" xr:uid="{00000000-0004-0000-0000-000062000000}"/>
    <hyperlink ref="L14" r:id="rId100" display="1בני שמעון\אימון הגנש\9פקודה אימון הגנש  להב והשלמות 4.3.26.docx" xr:uid="{00000000-0004-0000-0000-000063000000}"/>
    <hyperlink ref="F61" r:id="rId101" display="6לכיש\מטווח חציון א\6סיכום מטווח חציון א ככ נהורה, נגה ועוצם 16.2.26.docx" xr:uid="{00000000-0004-0000-0000-000064000000}"/>
    <hyperlink ref="M13" r:id="rId102" display="1בני שמעון\אימון הגנש\6סיכום אימון הגנש חצרים ונבטים 18.2.26.docx" xr:uid="{00000000-0004-0000-0000-000065000000}"/>
    <hyperlink ref="M14" r:id="rId103" display="1בני שמעון\אימון הגנש\10סיכום אימון הגנש  להב והשלמות 4.3.26.docx" xr:uid="{00000000-0004-0000-0000-000066000000}"/>
    <hyperlink ref="F15" r:id="rId104" display="1בני שמעון\מטווח חציון א\8סיכום מטווח חציון א כרמית וכרמים 5.3.26.docx" xr:uid="{00000000-0004-0000-0000-000067000000}"/>
    <hyperlink ref="F19" r:id="rId105" display="1בני שמעון\מטווח חציון א\8סיכום מטווח חציון א כרמית וכרמים 5.3.26.docx" xr:uid="{00000000-0004-0000-0000-000068000000}"/>
    <hyperlink ref="E105" r:id="rId106" display="8יואב\מטווח חציון א\3פקודה מטווח חציון א בית גוברין 6.3.26.docx" xr:uid="{00000000-0004-0000-0000-000069000000}"/>
    <hyperlink ref="F105" r:id="rId107" display="8יואב\מטווח חציון א\4סיכום מטווח חציון א בית גוברין 6.3.26.docx" xr:uid="{00000000-0004-0000-0000-00006A000000}"/>
    <hyperlink ref="M140" r:id="rId108" display="11באר טוביה\אימון הגנש\4סיכום אימון הגנש אורות והשלמות  16.2.26.docx" xr:uid="{00000000-0004-0000-0000-00006B000000}"/>
    <hyperlink ref="L136:L139" r:id="rId109" display="11באר טוביה\אימון הגנש\1פקודה אימון הגנש אמונים, גבעתי, עזר, בית עזרא ואורות 11.2.26.docx" xr:uid="{00000000-0004-0000-0000-00006C000000}"/>
    <hyperlink ref="M136:M139" r:id="rId110" display="11באר טוביה\אימון הגנש\2סיכום אימון הגנש אמונים, גבעתי, עזר,ובית עזרא 11.2.26.docx" xr:uid="{00000000-0004-0000-0000-00006D000000}"/>
    <hyperlink ref="E151:E152" r:id="rId111" display="11באר טוביה\מטווח חציון א\5פקודה מטווח חציון א נווה מבטח כנות וביצרון 28.1.26.docx" xr:uid="{00000000-0004-0000-0000-00006E000000}"/>
    <hyperlink ref="E87:E88" r:id="rId112" display="7חוף אשקלון\מטווח חציון א\5פקודה מטווח חציון א באר גנים והשלמות 26.1.26.docx" xr:uid="{00000000-0004-0000-0000-00006F000000}"/>
    <hyperlink ref="F87:F88" r:id="rId113" display="7חוף אשקלון\מטווח חציון א\6סיכום מטווח חציון א באר גנים והשלמות 26.1.26.docx" xr:uid="{00000000-0004-0000-0000-000070000000}"/>
    <hyperlink ref="F59:F61" r:id="rId114" display="6לכיש\מטווח חציון א\6סיכום מטווח חציון א ככ נהורה, נגה ועוצם 16.2.26.docx" xr:uid="{00000000-0004-0000-0000-000071000000}"/>
    <hyperlink ref="E61:E64" r:id="rId115" display="6לכיש\מטווח חציון א\7פקודה מטווח חציון א ככ יד נתן, שדה משה, מנוחה והשלמות 26.2.26.docx" xr:uid="{00000000-0004-0000-0000-000072000000}"/>
    <hyperlink ref="L16" r:id="rId116" display="1בני שמעון\אימון הגנש\11פקודה אימון הגנש  שומריה 11.3.26.docx" xr:uid="{00000000-0004-0000-0000-000073000000}"/>
    <hyperlink ref="L101:L102" r:id="rId117" display="8יואב\אימון הגנש\15פקודה אימון הגנש כפר מנחם וכפר הריף 11.3.26.docx" xr:uid="{00000000-0004-0000-0000-000074000000}"/>
    <hyperlink ref="E90" r:id="rId118" display="1פקודה מטווח חציון כוכב מיכאל 13.3.26" xr:uid="{00000000-0004-0000-0000-000075000000}"/>
    <hyperlink ref="E20" r:id="rId119" display="1בני שמעון\מטווח חציון א\9פקודה מטווח חציון א מועצתית בני שמעון 12.3.26.docx" xr:uid="{00000000-0004-0000-0000-000076000000}"/>
    <hyperlink ref="E134" r:id="rId120" display="11באר טוביה\מטווח חציון א\11פקודה מטווח חציון א שתולים וכפר ורבורג 15.3.26.docx" xr:uid="{00000000-0004-0000-0000-000077000000}"/>
    <hyperlink ref="E142" r:id="rId121" display="11באר טוביה\מטווח חציון א\11פקודה מטווח חציון א שתולים וכפר ורבורג 15.3.26.docx" xr:uid="{00000000-0004-0000-0000-000078000000}"/>
    <hyperlink ref="M16" r:id="rId122" display="1בני שמעון\אימון הגנש\12סיכום אימון הגנש  שומריה 11.3.26.docx" xr:uid="{00000000-0004-0000-0000-000079000000}"/>
    <hyperlink ref="M101" r:id="rId123" display="8יואב\אימון הגנש\16סיכום אימון הגנש כפר מנחם 11.3.26.docx" xr:uid="{00000000-0004-0000-0000-00007A000000}"/>
    <hyperlink ref="F20" r:id="rId124" display="1בני שמעון\מטווח חציון א\10סיכום מטווח חציון א מועצתית בני שמעון והשלמות 12.3.26.docx" xr:uid="{00000000-0004-0000-0000-00007B000000}"/>
    <hyperlink ref="E108" r:id="rId125" display="9שפיר\מטווח חציון א\11פקודה מטווח חציון א נועם ואלומה 18.3.26.docx" xr:uid="{00000000-0004-0000-0000-00007C000000}"/>
    <hyperlink ref="E119" r:id="rId126" display="9שפיר\מטווח חציון א\11פקודה מטווח חציון א נועם ואלומה 18.3.26.docx" xr:uid="{00000000-0004-0000-0000-00007D000000}"/>
    <hyperlink ref="L15" r:id="rId127" display="1בני שמעון\אימון הגנש\13פקודה אימון הגנש  כרמית וכרמים 15.3.26.docx" xr:uid="{00000000-0004-0000-0000-00007E000000}"/>
    <hyperlink ref="L19" r:id="rId128" display="1בני שמעון\אימון הגנש\13פקודה אימון הגנש  כרמית וכרמים 15.3.26.docx" xr:uid="{00000000-0004-0000-0000-00007F000000}"/>
    <hyperlink ref="E4:E6" r:id="rId129" display="1בני שמעון\מטווח חציון א\11פקודה מטווח חציון א יישובי יחדיו והשלמות 20.3.26.docx" xr:uid="{00000000-0004-0000-0000-000080000000}"/>
    <hyperlink ref="M15" r:id="rId130" display="1בני שמעון\אימון הגנש\14סיכום אימון הגנש  כרמית וכרמים 15.3.26.docx" xr:uid="{00000000-0004-0000-0000-000081000000}"/>
    <hyperlink ref="M19" r:id="rId131" display="1בני שמעון\אימון הגנש\14סיכום אימון הגנש  כרמית וכרמים 15.3.26.docx" xr:uid="{00000000-0004-0000-0000-000082000000}"/>
    <hyperlink ref="E14" r:id="rId132" display="1בני שמעון\מטווח חציון א\13פקודה מטווח חציון א להב ושומריה 20.3.26.docx" xr:uid="{00000000-0004-0000-0000-000083000000}"/>
    <hyperlink ref="E16" r:id="rId133" display="1בני שמעון\מטווח חציון א\13פקודה מטווח חציון א להב ושומריה 20.3.26.docx" xr:uid="{00000000-0004-0000-0000-000084000000}"/>
    <hyperlink ref="F108" r:id="rId134" display="9שפיר\מטווח חציון א\12סיכום מטווח חציון א נועם ואלומה 18.3.26.docx" xr:uid="{00000000-0004-0000-0000-000085000000}"/>
    <hyperlink ref="F119" r:id="rId135" display="9שפיר\מטווח חציון א\12סיכום מטווח חציון א נועם ואלומה 18.3.26.docx" xr:uid="{00000000-0004-0000-0000-000086000000}"/>
    <hyperlink ref="F134" r:id="rId136" display="11באר טוביה\מטווח חציון א\12סיכום מטווח חציון א שתולים וכפר ורבורג 15.3.26.docx" xr:uid="{00000000-0004-0000-0000-000087000000}"/>
    <hyperlink ref="F142" r:id="rId137" display="11באר טוביה\מטווח חציון א\12סיכום מטווח חציון א שתולים וכפר ורבורג 15.3.26.docx" xr:uid="{00000000-0004-0000-0000-000088000000}"/>
    <hyperlink ref="E135" r:id="rId138" display="11באר טוביה\מטווח חציון א\13פקודה מטווח חציון א שדה עוזיהו 22.3.26.docx" xr:uid="{00000000-0004-0000-0000-000089000000}"/>
    <hyperlink ref="L17:L18" r:id="rId139" display="1בני שמעון\אימון הגנש\15פקודה אימון הגנש  הר עמשא ומחנה יתיר 18.3.26.docx" xr:uid="{00000000-0004-0000-0000-00008A000000}"/>
    <hyperlink ref="M17" r:id="rId140" display="1בני שמעון\אימון הגנש\16סיכום אימון הגנש  הר עמשא ומחנה יתיר 18.3.26.docx" xr:uid="{00000000-0004-0000-0000-00008B000000}"/>
    <hyperlink ref="M18" r:id="rId141" display="1בני שמעון\אימון הגנש\16סיכום אימון הגנש  הר עמשא ומחנה יתיר 18.3.26.docx" xr:uid="{00000000-0004-0000-0000-00008C000000}"/>
    <hyperlink ref="F4:F6" r:id="rId142" display="1בני שמעון\מטווח חציון א\12סיכום מטווח חציון א יישובי יחדיו והשלמות 20.3.26.docx" xr:uid="{00000000-0004-0000-0000-00008D000000}"/>
    <hyperlink ref="E103" r:id="rId143" display="8יואב\מטווח חציון א\5פקודה מטווח חציון א רבדים 25.3.26.docx" xr:uid="{00000000-0004-0000-0000-00008E000000}"/>
    <hyperlink ref="E93" r:id="rId144" display="8יואב\מטווח חציון א\7פקודה מטווח חציון א בית ניר, גת והשלמות 23.3.26.docx" xr:uid="{00000000-0004-0000-0000-00008F000000}"/>
    <hyperlink ref="E95" r:id="rId145" display="8יואב\מטווח חציון א\7פקודה מטווח חציון א בית ניר, גת והשלמות 23.3.26.docx" xr:uid="{00000000-0004-0000-0000-000090000000}"/>
    <hyperlink ref="L23" r:id="rId146" display="2רמת נגב\אימון הגנש\1פקודה אימון הגנש טללים, מ.ב.ג ומשאבי שדה 25.3.26.docx" xr:uid="{00000000-0004-0000-0000-000091000000}"/>
    <hyperlink ref="L25" r:id="rId147" display="2רמת נגב\אימון הגנש\1פקודה אימון הגנש טללים, מ.ב.ג ומשאבי שדה 25.3.26.docx" xr:uid="{00000000-0004-0000-0000-000092000000}"/>
    <hyperlink ref="L26:L28" r:id="rId148" display="2רמת נגב\אימון הגנש\3פקודה אימון הגנש מרחב עם, שדה בוקר  ומ.ב.ג  25.3.26.docx" xr:uid="{00000000-0004-0000-0000-000093000000}"/>
    <hyperlink ref="F14" r:id="rId149" display="1בני שמעון\מטווח חציון א\14סיכום מטווח חציון א להב ושומריה 20.3.26.docx" xr:uid="{00000000-0004-0000-0000-000094000000}"/>
    <hyperlink ref="F16" r:id="rId150" display="1בני שמעון\מטווח חציון א\14סיכום מטווח חציון א להב ושומריה 20.3.26.docx" xr:uid="{00000000-0004-0000-0000-000095000000}"/>
    <hyperlink ref="L105" r:id="rId151" display="8יואב\אימון הגנש\17פקודה אימון הגנש בית גוברין 31.3.26.docx" xr:uid="{00000000-0004-0000-0000-000096000000}"/>
    <hyperlink ref="E23" r:id="rId152" display="2רמת נגב\מטווח חציון א\3פקודה מטווח חציון א טללים, מ.ב.ג ומשאבי שדה 25.3.26.docx" xr:uid="{00000000-0004-0000-0000-000097000000}"/>
    <hyperlink ref="E25" r:id="rId153" display="2רמת נגב\מטווח חציון א\3פקודה מטווח חציון א טללים, מ.ב.ג ומשאבי שדה 25.3.26.docx" xr:uid="{00000000-0004-0000-0000-000098000000}"/>
    <hyperlink ref="E26" r:id="rId154" display="2רמת נגב\מטווח חציון א\1פקודה מטווח חציון א מרחב עם שדה בוקר ומ.ב.ג 25.3.26.docx" xr:uid="{00000000-0004-0000-0000-000099000000}"/>
    <hyperlink ref="E27" r:id="rId155" display="2רמת נגב\מטווח חציון א\1פקודה מטווח חציון א מרחב עם שדה בוקר ומ.ב.ג 25.3.26.docx" xr:uid="{00000000-0004-0000-0000-00009A000000}"/>
    <hyperlink ref="E28" r:id="rId156" display="2רמת נגב\מטווח חציון א\1פקודה מטווח חציון א מרחב עם שדה בוקר ומ.ב.ג 25.3.26.docx" xr:uid="{00000000-0004-0000-0000-00009B000000}"/>
    <hyperlink ref="F23" r:id="rId157" display="2רמת נגב\מטווח חציון א\2סיכום מטווח חציון א מרחב עם שדה בוקר ומ.ב.ג 25.3.26.docx" xr:uid="{00000000-0004-0000-0000-00009C000000}"/>
    <hyperlink ref="F25:F28" r:id="rId158" display="2רמת נגב\מטווח חציון א\2סיכום מטווח חציון א מרחב עם שדה בוקר ומ.ב.ג 25.3.26.docx" xr:uid="{00000000-0004-0000-0000-00009D000000}"/>
    <hyperlink ref="M23" r:id="rId159" display="2רמת נגב\אימון הגנש\2סיכום אימון הגנש טללים, מ.ב.ג ומשאבי שדה 25.3.26.docx" xr:uid="{00000000-0004-0000-0000-00009E000000}"/>
    <hyperlink ref="M25:M28" r:id="rId160" display="2רמת נגב\אימון הגנש\2סיכום אימון הגנש טללים, מ.ב.ג ומשאבי שדה 25.3.26.docx" xr:uid="{00000000-0004-0000-0000-00009F000000}"/>
    <hyperlink ref="M105" r:id="rId161" display="8יואב\אימון הגנש\18סיכום אימון הגנש בית גוברין 31.3.26.docx" xr:uid="{00000000-0004-0000-0000-0000A0000000}"/>
    <hyperlink ref="E84" r:id="rId162" display="7חוף אשקלון\מטווח חציון א\11פקודה מטווח חציון א ניר ישראל, נוצנים והשלמות 29.3.26.docx" xr:uid="{00000000-0004-0000-0000-0000A1000000}"/>
    <hyperlink ref="E86" r:id="rId163" display="7חוף אשקלון\מטווח חציון א\11פקודה מטווח חציון א ניר ישראל, נוצנים והשלמות 29.3.26.docx" xr:uid="{00000000-0004-0000-0000-0000A2000000}"/>
    <hyperlink ref="F84" r:id="rId164" display="7חוף אשקלון\מטווח חציון א\12סיכום מטווח חציון א ניר ישראל, ניצנים והשלמות 29.3.26.docx" xr:uid="{00000000-0004-0000-0000-0000A3000000}"/>
    <hyperlink ref="F86" r:id="rId165" display="7חוף אשקלון\מטווח חציון א\12סיכום מטווח חציון א ניר ישראל, ניצנים והשלמות 29.3.26.docx" xr:uid="{00000000-0004-0000-0000-0000A4000000}"/>
  </hyperlinks>
  <pageMargins left="0.7" right="0.7" top="0.75" bottom="0.75" header="0.3" footer="0.3"/>
  <pageSetup paperSize="9" orientation="portrait" r:id="rId166"/>
  <legacyDrawing r:id="rId16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ophir braude</cp:lastModifiedBy>
  <dcterms:modified xsi:type="dcterms:W3CDTF">2026-04-09T19:21:47Z</dcterms:modified>
  <cp:category/>
</cp:coreProperties>
</file>